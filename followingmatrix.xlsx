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navas\Desktop\Análisis ANG\"/>
    </mc:Choice>
  </mc:AlternateContent>
  <xr:revisionPtr revIDLastSave="0" documentId="13_ncr:1_{699773A4-C380-4385-886F-E637BB406AF1}" xr6:coauthVersionLast="47" xr6:coauthVersionMax="47" xr10:uidLastSave="{00000000-0000-0000-0000-000000000000}"/>
  <bookViews>
    <workbookView xWindow="28680" yWindow="-120" windowWidth="29040" windowHeight="15720" xr2:uid="{FF2AE531-21D2-45B6-A564-3BA4CEACDF38}"/>
  </bookViews>
  <sheets>
    <sheet name="Hoja1" sheetId="1" r:id="rId1"/>
  </sheets>
  <definedNames>
    <definedName name="_xlnm._FilterDatabase" localSheetId="0" hidden="1">Hoja1!$A$1:$AB$129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29" i="1" l="1"/>
  <c r="AB129" i="1" s="1"/>
  <c r="Z128" i="1"/>
  <c r="AB128" i="1" s="1"/>
  <c r="Z127" i="1"/>
  <c r="AB127" i="1" s="1"/>
  <c r="Z126" i="1"/>
  <c r="AB126" i="1" s="1"/>
  <c r="Z125" i="1"/>
  <c r="AB125" i="1" s="1"/>
  <c r="Z124" i="1"/>
  <c r="AB124" i="1" s="1"/>
  <c r="Z123" i="1"/>
  <c r="AB123" i="1" s="1"/>
  <c r="Z122" i="1"/>
  <c r="AB122" i="1" s="1"/>
  <c r="Z121" i="1"/>
  <c r="AB121" i="1" s="1"/>
  <c r="Z120" i="1"/>
  <c r="AB120" i="1" s="1"/>
  <c r="AB119" i="1"/>
  <c r="Z119" i="1"/>
  <c r="Z118" i="1"/>
  <c r="AB118" i="1" s="1"/>
  <c r="Z117" i="1"/>
  <c r="AB117" i="1" s="1"/>
  <c r="Z116" i="1"/>
  <c r="AB116" i="1" s="1"/>
  <c r="Z115" i="1"/>
  <c r="AB115" i="1" s="1"/>
  <c r="Z114" i="1"/>
  <c r="AB114" i="1" s="1"/>
  <c r="Z113" i="1"/>
  <c r="AB113" i="1" s="1"/>
  <c r="I113" i="1"/>
  <c r="Z112" i="1"/>
  <c r="I112" i="1" s="1"/>
  <c r="Z111" i="1"/>
  <c r="I111" i="1" s="1"/>
  <c r="Z110" i="1"/>
  <c r="AB110" i="1" s="1"/>
  <c r="Y110" i="1"/>
  <c r="I110" i="1"/>
  <c r="Z109" i="1"/>
  <c r="I109" i="1" s="1"/>
  <c r="Z108" i="1"/>
  <c r="AB108" i="1" s="1"/>
  <c r="I108" i="1"/>
  <c r="AB107" i="1"/>
  <c r="Z107" i="1"/>
  <c r="I107" i="1" s="1"/>
  <c r="Z106" i="1"/>
  <c r="I106" i="1" s="1"/>
  <c r="Y106" i="1"/>
  <c r="AA105" i="1"/>
  <c r="Z105" i="1"/>
  <c r="AB105" i="1" s="1"/>
  <c r="Y105" i="1"/>
  <c r="AA104" i="1"/>
  <c r="Y104" i="1"/>
  <c r="Z104" i="1" s="1"/>
  <c r="Z103" i="1"/>
  <c r="AB103" i="1" s="1"/>
  <c r="Y103" i="1"/>
  <c r="Z102" i="1"/>
  <c r="AB102" i="1" s="1"/>
  <c r="Y102" i="1"/>
  <c r="I102" i="1"/>
  <c r="Y101" i="1"/>
  <c r="Z101" i="1" s="1"/>
  <c r="AA100" i="1"/>
  <c r="Z100" i="1"/>
  <c r="AB100" i="1" s="1"/>
  <c r="Y100" i="1"/>
  <c r="Z99" i="1"/>
  <c r="AB99" i="1" s="1"/>
  <c r="Y99" i="1"/>
  <c r="I99" i="1"/>
  <c r="Z98" i="1"/>
  <c r="AB98" i="1" s="1"/>
  <c r="I98" i="1"/>
  <c r="Z97" i="1"/>
  <c r="AB97" i="1" s="1"/>
  <c r="I97" i="1"/>
  <c r="Z96" i="1"/>
  <c r="AB96" i="1" s="1"/>
  <c r="I96" i="1"/>
  <c r="Z95" i="1"/>
  <c r="AB95" i="1" s="1"/>
  <c r="Z94" i="1"/>
  <c r="AB94" i="1" s="1"/>
  <c r="Z93" i="1"/>
  <c r="AB93" i="1" s="1"/>
  <c r="Z92" i="1"/>
  <c r="AB92" i="1" s="1"/>
  <c r="I92" i="1"/>
  <c r="Z91" i="1"/>
  <c r="AB91" i="1" s="1"/>
  <c r="Y91" i="1"/>
  <c r="I91" i="1"/>
  <c r="Z90" i="1"/>
  <c r="AB90" i="1" s="1"/>
  <c r="Y90" i="1"/>
  <c r="I90" i="1"/>
  <c r="AB89" i="1"/>
  <c r="I89" i="1"/>
  <c r="AB88" i="1"/>
  <c r="I88" i="1"/>
  <c r="Z87" i="1"/>
  <c r="AB87" i="1" s="1"/>
  <c r="Z86" i="1"/>
  <c r="AB86" i="1" s="1"/>
  <c r="Z85" i="1"/>
  <c r="AB85" i="1" s="1"/>
  <c r="I85" i="1"/>
  <c r="Z84" i="1"/>
  <c r="AB84" i="1" s="1"/>
  <c r="I84" i="1"/>
  <c r="Z83" i="1"/>
  <c r="I83" i="1" s="1"/>
  <c r="Z82" i="1"/>
  <c r="AB82" i="1" s="1"/>
  <c r="I82" i="1"/>
  <c r="Z81" i="1"/>
  <c r="AB81" i="1" s="1"/>
  <c r="I81" i="1"/>
  <c r="AB80" i="1"/>
  <c r="Z80" i="1"/>
  <c r="I80" i="1"/>
  <c r="Z79" i="1"/>
  <c r="AB79" i="1" s="1"/>
  <c r="I79" i="1"/>
  <c r="Z78" i="1"/>
  <c r="AB78" i="1" s="1"/>
  <c r="I78" i="1"/>
  <c r="Z77" i="1"/>
  <c r="AB77" i="1" s="1"/>
  <c r="I77" i="1"/>
  <c r="Z76" i="1"/>
  <c r="AB76" i="1" s="1"/>
  <c r="I76" i="1"/>
  <c r="Z75" i="1"/>
  <c r="AB75" i="1" s="1"/>
  <c r="I75" i="1"/>
  <c r="Z74" i="1"/>
  <c r="I74" i="1" s="1"/>
  <c r="Y73" i="1"/>
  <c r="Z73" i="1" s="1"/>
  <c r="AB73" i="1" s="1"/>
  <c r="Y72" i="1"/>
  <c r="Z72" i="1" s="1"/>
  <c r="AB72" i="1" s="1"/>
  <c r="Z71" i="1"/>
  <c r="I71" i="1" s="1"/>
  <c r="Z70" i="1"/>
  <c r="AB70" i="1" s="1"/>
  <c r="Z69" i="1"/>
  <c r="AB69" i="1" s="1"/>
  <c r="I69" i="1"/>
  <c r="Z68" i="1"/>
  <c r="AB68" i="1" s="1"/>
  <c r="I68" i="1"/>
  <c r="Z67" i="1"/>
  <c r="AB67" i="1" s="1"/>
  <c r="I67" i="1"/>
  <c r="AB66" i="1"/>
  <c r="I66" i="1"/>
  <c r="AB65" i="1"/>
  <c r="I65" i="1"/>
  <c r="AB64" i="1"/>
  <c r="I64" i="1"/>
  <c r="AB63" i="1"/>
  <c r="I63" i="1"/>
  <c r="Z62" i="1"/>
  <c r="AB62" i="1" s="1"/>
  <c r="I62" i="1"/>
  <c r="Z61" i="1"/>
  <c r="AB61" i="1" s="1"/>
  <c r="I61" i="1"/>
  <c r="Z60" i="1"/>
  <c r="AB60" i="1" s="1"/>
  <c r="I60" i="1"/>
  <c r="Z59" i="1"/>
  <c r="AB59" i="1" s="1"/>
  <c r="Z58" i="1"/>
  <c r="AB58" i="1" s="1"/>
  <c r="Z57" i="1"/>
  <c r="AB57" i="1" s="1"/>
  <c r="Z56" i="1"/>
  <c r="AB56" i="1" s="1"/>
  <c r="AB55" i="1"/>
  <c r="Z55" i="1"/>
  <c r="Z54" i="1"/>
  <c r="AB54" i="1" s="1"/>
  <c r="I54" i="1"/>
  <c r="Z53" i="1"/>
  <c r="AB53" i="1" s="1"/>
  <c r="I53" i="1"/>
  <c r="AB52" i="1"/>
  <c r="Z52" i="1"/>
  <c r="Z51" i="1"/>
  <c r="AB51" i="1" s="1"/>
  <c r="Z50" i="1"/>
  <c r="AB50" i="1" s="1"/>
  <c r="Z49" i="1"/>
  <c r="AB49" i="1" s="1"/>
  <c r="Z48" i="1"/>
  <c r="AB48" i="1" s="1"/>
  <c r="I48" i="1"/>
  <c r="Z47" i="1"/>
  <c r="AB47" i="1" s="1"/>
  <c r="I47" i="1"/>
  <c r="Z46" i="1"/>
  <c r="AB46" i="1" s="1"/>
  <c r="I46" i="1"/>
  <c r="Z45" i="1"/>
  <c r="AB45" i="1" s="1"/>
  <c r="I45" i="1"/>
  <c r="Y44" i="1"/>
  <c r="Z44" i="1" s="1"/>
  <c r="Y43" i="1"/>
  <c r="Z43" i="1" s="1"/>
  <c r="Z42" i="1"/>
  <c r="AB42" i="1" s="1"/>
  <c r="Y42" i="1"/>
  <c r="I42" i="1"/>
  <c r="Y41" i="1"/>
  <c r="Z41" i="1" s="1"/>
  <c r="Z40" i="1"/>
  <c r="AB40" i="1" s="1"/>
  <c r="I40" i="1"/>
  <c r="Z39" i="1"/>
  <c r="AB39" i="1" s="1"/>
  <c r="I39" i="1"/>
  <c r="Z38" i="1"/>
  <c r="AB38" i="1" s="1"/>
  <c r="I38" i="1"/>
  <c r="AB37" i="1"/>
  <c r="Z37" i="1"/>
  <c r="I37" i="1"/>
  <c r="Z36" i="1"/>
  <c r="AB36" i="1" s="1"/>
  <c r="I36" i="1"/>
  <c r="Z35" i="1"/>
  <c r="AB35" i="1" s="1"/>
  <c r="I35" i="1"/>
  <c r="Y34" i="1"/>
  <c r="Z34" i="1" s="1"/>
  <c r="Y33" i="1"/>
  <c r="Z33" i="1" s="1"/>
  <c r="Y32" i="1"/>
  <c r="Z32" i="1" s="1"/>
  <c r="Z31" i="1"/>
  <c r="AB31" i="1" s="1"/>
  <c r="Y30" i="1"/>
  <c r="Z30" i="1" s="1"/>
  <c r="Z29" i="1"/>
  <c r="AB29" i="1" s="1"/>
  <c r="I29" i="1"/>
  <c r="Y28" i="1"/>
  <c r="Z28" i="1" s="1"/>
  <c r="Z27" i="1"/>
  <c r="AB27" i="1" s="1"/>
  <c r="Z26" i="1"/>
  <c r="AB26" i="1" s="1"/>
  <c r="Y26" i="1"/>
  <c r="Y25" i="1"/>
  <c r="Z25" i="1" s="1"/>
  <c r="AA24" i="1"/>
  <c r="Y24" i="1"/>
  <c r="Z24" i="1" s="1"/>
  <c r="AB24" i="1" s="1"/>
  <c r="Y23" i="1"/>
  <c r="Z23" i="1" s="1"/>
  <c r="Z22" i="1"/>
  <c r="AB22" i="1" s="1"/>
  <c r="Y22" i="1"/>
  <c r="Z21" i="1"/>
  <c r="AB21" i="1" s="1"/>
  <c r="Y20" i="1"/>
  <c r="Z20" i="1" s="1"/>
  <c r="Z19" i="1"/>
  <c r="AB19" i="1" s="1"/>
  <c r="Y18" i="1"/>
  <c r="Z18" i="1" s="1"/>
  <c r="Z17" i="1"/>
  <c r="AB17" i="1" s="1"/>
  <c r="I17" i="1"/>
  <c r="Y16" i="1"/>
  <c r="Z16" i="1" s="1"/>
  <c r="Y15" i="1"/>
  <c r="Z15" i="1" s="1"/>
  <c r="Y14" i="1"/>
  <c r="Z14" i="1" s="1"/>
  <c r="Z13" i="1"/>
  <c r="AB13" i="1" s="1"/>
  <c r="I13" i="1"/>
  <c r="Z12" i="1"/>
  <c r="AB12" i="1" s="1"/>
  <c r="I12" i="1"/>
  <c r="Z11" i="1"/>
  <c r="AB11" i="1" s="1"/>
  <c r="Z10" i="1"/>
  <c r="AB10" i="1" s="1"/>
  <c r="I10" i="1"/>
  <c r="Z9" i="1"/>
  <c r="AB9" i="1" s="1"/>
  <c r="AB8" i="1"/>
  <c r="Z8" i="1"/>
  <c r="I8" i="1"/>
  <c r="AB7" i="1"/>
  <c r="I7" i="1"/>
  <c r="Z6" i="1"/>
  <c r="AB6" i="1" s="1"/>
  <c r="I6" i="1"/>
  <c r="Z5" i="1"/>
  <c r="AB5" i="1" s="1"/>
  <c r="Z4" i="1"/>
  <c r="AB4" i="1" s="1"/>
  <c r="Y4" i="1"/>
  <c r="Y3" i="1"/>
  <c r="Z3" i="1" s="1"/>
  <c r="Z2" i="1"/>
  <c r="AB2" i="1" s="1"/>
  <c r="AB111" i="1" l="1"/>
  <c r="AB112" i="1"/>
  <c r="I21" i="1"/>
  <c r="I93" i="1"/>
  <c r="I100" i="1"/>
  <c r="AB71" i="1"/>
  <c r="AB106" i="1"/>
  <c r="AB83" i="1"/>
  <c r="I70" i="1"/>
  <c r="AB109" i="1"/>
  <c r="I9" i="1"/>
  <c r="I27" i="1"/>
  <c r="I32" i="1"/>
  <c r="AB32" i="1"/>
  <c r="AB14" i="1"/>
  <c r="I14" i="1"/>
  <c r="I33" i="1"/>
  <c r="AB33" i="1"/>
  <c r="I15" i="1"/>
  <c r="AB15" i="1"/>
  <c r="AB34" i="1"/>
  <c r="I34" i="1"/>
  <c r="AB16" i="1"/>
  <c r="I16" i="1"/>
  <c r="AB104" i="1"/>
  <c r="I104" i="1"/>
  <c r="I18" i="1"/>
  <c r="AB18" i="1"/>
  <c r="I20" i="1"/>
  <c r="AB20" i="1"/>
  <c r="AB3" i="1"/>
  <c r="I3" i="1"/>
  <c r="AB23" i="1"/>
  <c r="I23" i="1"/>
  <c r="I24" i="1"/>
  <c r="AB25" i="1"/>
  <c r="I25" i="1"/>
  <c r="AB41" i="1"/>
  <c r="I41" i="1"/>
  <c r="AB28" i="1"/>
  <c r="I28" i="1"/>
  <c r="I43" i="1"/>
  <c r="AB43" i="1"/>
  <c r="AB44" i="1"/>
  <c r="I44" i="1"/>
  <c r="AB30" i="1"/>
  <c r="I30" i="1"/>
  <c r="AB101" i="1"/>
  <c r="I101" i="1"/>
  <c r="AB74" i="1"/>
  <c r="I26" i="1"/>
  <c r="I2" i="1"/>
  <c r="I11" i="1"/>
  <c r="I19" i="1"/>
  <c r="I94" i="1"/>
  <c r="I103" i="1"/>
  <c r="I4" i="1"/>
  <c r="I86" i="1"/>
  <c r="I22" i="1"/>
  <c r="I5" i="1"/>
  <c r="I87" i="1"/>
  <c r="I105" i="1"/>
  <c r="I3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Gerardo Estrada</author>
    <author>tc={72779D95-8EED-4E68-9185-5A6FFDBF6DEE}</author>
    <author>tc={0CE95864-EAED-44B9-9E97-11F0CB8F3828}</author>
    <author>tc={06AEC87D-E3F7-4F59-9505-BE41902B7FD4}</author>
    <author>tc={B766B200-634A-4FC3-8693-A981DCB5AF4C}</author>
  </authors>
  <commentList>
    <comment ref="U9" authorId="0" shapeId="0" xr:uid="{0EC36858-578E-4248-ADBA-C6121548F8BA}">
      <text>
        <r>
          <rPr>
            <b/>
            <sz val="11"/>
            <color indexed="81"/>
            <rFont val="Tahoma"/>
            <family val="2"/>
          </rPr>
          <t xml:space="preserve">RESOLUCION
</t>
        </r>
        <r>
          <rPr>
            <b/>
            <sz val="12"/>
            <color indexed="81"/>
            <rFont val="Tahoma"/>
            <family val="2"/>
          </rPr>
          <t>0.1-187-2024 EC/ll/gl</t>
        </r>
      </text>
    </comment>
    <comment ref="U16" authorId="0" shapeId="0" xr:uid="{77E9E880-6ECD-4B2F-9BBE-4ECDA33824F5}">
      <text>
        <r>
          <rPr>
            <b/>
            <sz val="11"/>
            <color indexed="81"/>
            <rFont val="Segoe UI"/>
            <family val="2"/>
          </rPr>
          <t>CARTA DE FINALIZACION CON FECHA 08-05-2024</t>
        </r>
      </text>
    </comment>
    <comment ref="U23" authorId="0" shapeId="0" xr:uid="{A7CAB46B-7E24-4500-9CDA-CE69DFB9B5CE}">
      <text>
        <r>
          <rPr>
            <sz val="14"/>
            <color indexed="81"/>
            <rFont val="Tahoma"/>
            <family val="2"/>
          </rPr>
          <t>Vence en el mes de septiembre 2024, según dictamen proporcionado por la supervisión externa.</t>
        </r>
      </text>
    </comment>
    <comment ref="U25" authorId="0" shapeId="0" xr:uid="{DC1766FC-28B6-48E6-866E-46F77F49A22A}">
      <text>
        <r>
          <rPr>
            <b/>
            <sz val="11"/>
            <color indexed="81"/>
            <rFont val="Tahoma"/>
            <family val="2"/>
          </rPr>
          <t>VENCE 15-01-2023</t>
        </r>
      </text>
    </comment>
    <comment ref="U60" authorId="0" shapeId="0" xr:uid="{18D79A53-6E79-432E-8B3D-EF46A8B4FF84}">
      <text>
        <r>
          <rPr>
            <b/>
            <sz val="11"/>
            <color indexed="81"/>
            <rFont val="Tahoma"/>
            <family val="2"/>
          </rPr>
          <t>LE QUEDAN 23 DIAS DE PLAZO CONTRACTUAL</t>
        </r>
      </text>
    </comment>
    <comment ref="U61" authorId="0" shapeId="0" xr:uid="{81A04D14-488F-4DC0-808B-463ED83D38FE}">
      <text>
        <r>
          <rPr>
            <b/>
            <sz val="11"/>
            <color indexed="81"/>
            <rFont val="Tahoma"/>
            <family val="2"/>
          </rPr>
          <t>LE QUEDAN 23 DIAS DE PLAZO CONTRACTUAL</t>
        </r>
      </text>
    </comment>
    <comment ref="U62" authorId="0" shapeId="0" xr:uid="{FE84B599-C6EA-443F-9AB5-31F32E99216F}">
      <text>
        <r>
          <rPr>
            <b/>
            <sz val="11"/>
            <color indexed="81"/>
            <rFont val="Tahoma"/>
            <family val="2"/>
          </rPr>
          <t>LE QUEDAN 23 DIAS DE PLAZO CONTRACTUAL</t>
        </r>
      </text>
    </comment>
    <comment ref="U66" authorId="0" shapeId="0" xr:uid="{A1662333-B0F2-4389-BFFE-3AF5FDA1E173}">
      <text>
        <r>
          <rPr>
            <b/>
            <sz val="11"/>
            <color indexed="81"/>
            <rFont val="Tahoma"/>
            <family val="2"/>
          </rPr>
          <t>LE QUEDAN 23 DIAS DE PLAZO CONTRACTUAL</t>
        </r>
      </text>
    </comment>
    <comment ref="U78" authorId="0" shapeId="0" xr:uid="{785D567A-DEAB-4F61-9E86-9ED6BA9AA840}">
      <text>
        <r>
          <rPr>
            <b/>
            <sz val="11"/>
            <color indexed="81"/>
            <rFont val="Tahoma"/>
            <family val="2"/>
          </rPr>
          <t>RESOLUCION
0.1-170A-2023 JCA/eo</t>
        </r>
      </text>
    </comment>
    <comment ref="U79" authorId="0" shapeId="0" xr:uid="{8D32A89F-88CA-4A57-AD52-71BF53B62E1D}">
      <text>
        <r>
          <rPr>
            <b/>
            <sz val="11"/>
            <color indexed="81"/>
            <rFont val="Tahoma"/>
            <family val="2"/>
          </rPr>
          <t>RESOLUCION
0.1-170A-2023 JCA/eo</t>
        </r>
      </text>
    </comment>
    <comment ref="U82" authorId="0" shapeId="0" xr:uid="{46B6C6AB-1C35-48EF-A826-F3401ECC99BE}">
      <text>
        <r>
          <rPr>
            <b/>
            <sz val="11"/>
            <color indexed="81"/>
            <rFont val="Tahoma"/>
            <family val="2"/>
          </rPr>
          <t>VENCE 01-11-23</t>
        </r>
      </text>
    </comment>
    <comment ref="U83" authorId="0" shapeId="0" xr:uid="{B90757CB-A04B-41EE-A53C-4568630C3AEF}">
      <text>
        <r>
          <rPr>
            <b/>
            <sz val="11"/>
            <color indexed="81"/>
            <rFont val="Tahoma"/>
            <family val="2"/>
          </rPr>
          <t>VENCE 01-11-23</t>
        </r>
      </text>
    </comment>
    <comment ref="U88" authorId="0" shapeId="0" xr:uid="{A354AB2B-14D5-4D36-B50A-53E4CBC83051}">
      <text>
        <r>
          <rPr>
            <b/>
            <sz val="11"/>
            <color indexed="81"/>
            <rFont val="Tahoma"/>
            <family val="2"/>
          </rPr>
          <t>RESOLUCION
0.1-170A-2023 JCA/eo</t>
        </r>
      </text>
    </comment>
    <comment ref="S109" authorId="1" shapeId="0" xr:uid="{72779D95-8EED-4E68-9185-5A6FFDBF6DEE}">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ratificación de días contractuales en Depto. Juridico</t>
      </text>
    </comment>
    <comment ref="S110" authorId="2" shapeId="0" xr:uid="{0CE95864-EAED-44B9-9E97-11F0CB8F3828}">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ratificación de días contractuales en Depto. Juridico</t>
      </text>
    </comment>
    <comment ref="S111" authorId="3" shapeId="0" xr:uid="{06AEC87D-E3F7-4F59-9505-BE41902B7FD4}">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ratificación de días contractuales en Depto. Juridico</t>
      </text>
    </comment>
    <comment ref="S112" authorId="4" shapeId="0" xr:uid="{B766B200-634A-4FC3-8693-A981DCB5AF4C}">
      <text>
        <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ratificación de días contractuales en Depto. Juridico</t>
      </text>
    </comment>
  </commentList>
</comments>
</file>

<file path=xl/sharedStrings.xml><?xml version="1.0" encoding="utf-8"?>
<sst xmlns="http://schemas.openxmlformats.org/spreadsheetml/2006/main" count="1508" uniqueCount="655">
  <si>
    <t>No.</t>
  </si>
  <si>
    <t>AÑO DE INICIO</t>
  </si>
  <si>
    <t>INSTITUCIÓN</t>
  </si>
  <si>
    <t>TIPO DE PROYECTO</t>
  </si>
  <si>
    <t>NOMBRE  DEL  PROYECTO</t>
  </si>
  <si>
    <t>MUNICIPIO</t>
  </si>
  <si>
    <t>DEPARTAMENTO</t>
  </si>
  <si>
    <t>% AVANCE FISICO REAL</t>
  </si>
  <si>
    <t>% AVANCE FINANCIERO</t>
  </si>
  <si>
    <t>ESTATUS DEL PROYECTO</t>
  </si>
  <si>
    <t>ACCIONES REALIZADAS</t>
  </si>
  <si>
    <t>SUPERVISOR INTERNO UCEE ACTUAL</t>
  </si>
  <si>
    <t>SNIP</t>
  </si>
  <si>
    <t>NOG</t>
  </si>
  <si>
    <t>CONTRATO</t>
  </si>
  <si>
    <t>LATITUD</t>
  </si>
  <si>
    <t>LONGITUD</t>
  </si>
  <si>
    <t>FECHA DE INICIO</t>
  </si>
  <si>
    <t>FECHA FINALIZACION</t>
  </si>
  <si>
    <t>PLAZO CONTRACTUAL</t>
  </si>
  <si>
    <t>PRORROGA</t>
  </si>
  <si>
    <t>EMPRESA</t>
  </si>
  <si>
    <t>NIT</t>
  </si>
  <si>
    <t xml:space="preserve">MONTO DE CONTRATO ORIGINAL </t>
  </si>
  <si>
    <t>DOCUMENTOS DE CAMBIO</t>
  </si>
  <si>
    <t xml:space="preserve">MONTO DE CONTRATO MODIFICADO </t>
  </si>
  <si>
    <t>MONTO PAGADO</t>
  </si>
  <si>
    <t>SALDO PENDIENTE POR PAGAR</t>
  </si>
  <si>
    <t>SALUD</t>
  </si>
  <si>
    <t>INVERSIÓN</t>
  </si>
  <si>
    <t>MEJORAMIENTO CENTRO DE SALUD TIPO B LANQUIN, ALTA VERAPAZ</t>
  </si>
  <si>
    <t>LANQUIN</t>
  </si>
  <si>
    <t>ALTA VERAPAZ</t>
  </si>
  <si>
    <t>SE AGOTÓ VÍA CONCILIATORIA Y ADMINISTRATIVA / EN PROCESO CONFORMACIÓN TRÁMITE ADMINISTRATIVO DERIVADO AL AGOTAMIENTO DE LA VÍA CONCILIATORIA.</t>
  </si>
  <si>
    <t>Se identificaron trabajos con deficiencias. Aunque la empresa indicó que el proyecto fue recepcionado en mayo de 2022, el acta de recepción está incompleta y en investigación. Se constató que el expediente del Informe Pormenorizado se extravió y el Libro de Actas presenta incongruencias (folios duplicados), por lo que se solicitó apoyo a Asesoría Jurídica, Auditoría Interna y Contraloría General de Cuentas. Luego de incomparecencias y excusas por parte de la empresa a las citaciones, se dio por agotada la vía administrativa y conciliatoria mediante acta el 27 de noviembre de 2025. Se procede a rescindir el contrato por irregularidades administrativas y renglones incompletos.</t>
  </si>
  <si>
    <t>ARQ. LUCIA ROMAN</t>
  </si>
  <si>
    <t>160-2021-UCEE</t>
  </si>
  <si>
    <t>CONSTRUCTORA HV</t>
  </si>
  <si>
    <t>4698251-5</t>
  </si>
  <si>
    <t>SEGEPLAN</t>
  </si>
  <si>
    <t>CONSTRUCCION EDIFICIO DELEGACION DEPARTAMENTAL DE SEGEPLAN, ZONA 12, COBAN, ALTA VERAPAZ</t>
  </si>
  <si>
    <t>COBAN</t>
  </si>
  <si>
    <t>EN EJECUCIÓN</t>
  </si>
  <si>
    <t>El proyecto ha tenido suspensiones del plazo y levantamientos posteriores de dichas suspensiones a lo largo de 2024 y 2025. La empresa solicitó una prórroga de 240 días para continuar, así como autorización para trabajos extras necesarios, modificando la fecha final de entrega al 25 de julio de 2026. Se mantiene supervisión constante para evaluar el avance físico y el cumplimiento de especificaciones.</t>
  </si>
  <si>
    <t>267-2023-UCEE</t>
  </si>
  <si>
    <t>SOLUCIONES AVANZADAS PARA NEGOCIOS, PROYECTOS, ASESORÍAS Y SERVICIOS AMBIENTALES, S.A.</t>
  </si>
  <si>
    <t>9783739-3</t>
  </si>
  <si>
    <t>MEJORAMIENTO CENTRO DE SALUD IPALA, CHIQUIMULA</t>
  </si>
  <si>
    <t>IPALA</t>
  </si>
  <si>
    <t>CHIQUIMULA</t>
  </si>
  <si>
    <t>RECEPCIONADA / SE TRASLADO EXPEDIENTE A ASESORÍA JURIDICA POR DEFICIENCIA EN EJECUCIÓN DE RENGLONES PARA QUE SE ESTABLEZCAN LAS ACCIONES Y LA RUTA LEGAL</t>
  </si>
  <si>
    <t xml:space="preserve">•Identificación de deficiencias de calidad: Durante las inspecciones finales, el supervisor detectó y documentó que la pintura aplicada en varios módulos es de mala calidad, ya que se desprende con facilidad al tacto.
•Control de acabados y carpintería: Constató que existen puertas de madera que presentan daños y falta de barniz, además de encontrar piezas de azulejo y piso que están quebradas o manchadas con pintura.
•Revisión de instalaciones: Verificó que algunos artefactos sanitarios y accesorios eléctricos no fueron instalados correctamente o se encuentran sucios, afectando la estética y funcionalidad de la obra.
•Monitoreo de filtraciones: Reportó que existen problemas de humedad en las losas de algunos módulos, lo que requiere una revisión del sistema de impermeabilización.
•Traslado de expediente a la Asesoría Jurídica. </t>
  </si>
  <si>
    <t>ARQ. BYRON GUTIERREZ</t>
  </si>
  <si>
    <t>174-2021-UCEE</t>
  </si>
  <si>
    <t>QUIMTEAGRO, S.A.</t>
  </si>
  <si>
    <t>600251-K</t>
  </si>
  <si>
    <t>EDUCACIÓN</t>
  </si>
  <si>
    <t>CONSTRUCCION ESCUELA BICENTENARIO, ESQUIPULAS, CHIQUIMULA</t>
  </si>
  <si>
    <t>ESQUIPULAS</t>
  </si>
  <si>
    <t>•	 SE LLEGÓ ACUERDO DE VÍA ADMINISTRATIVA Y CONCILIATORIA PARA CONTINUACIÓN DEL PROYECTO POR OTORGAMIENTO DE AMPARO.  
•	 VIABILIDAD POR PARTE DE MESA TECNICA - LEY DEL PRESUPUESTO ART. 83 DECRETO 36-2024 (Siempre y cuando cumplan con la papelería del MP y CGC).</t>
  </si>
  <si>
    <t>•Realizó múltiples inspecciones físicas para constatar el avance real frente al cronograma, destacando las visitas del 8 de enero, 5 de febrero y el periodo del 25 al 27 de febrero de 2026.
•Determinación de Avance Físico: Ejecutó mediciones precisas para establecer el progreso de la obra. 
•Control de Calidad y Correcciones: Tras la inspección de finales de febrero, ordenó a la empresa constructora (COCESA) realizar correcciones obligatorias en trabajos ya finalizados para cumplir con los estándares técnicos.
•Apercibimiento por Falta de Personal: Emitió un oficio formal a la constructora señalando que la mano de obra en campo era insuficiente para cumplir con el compromiso de entrega, solicitando la incorporación inmediata de más personal.
•Control de Plazos y Multas: Documentó que el plazo contractual venció el 4 de mayo de 2024 y que el proyecto continúa bajo amparo judicial. Estableció un atraso acumulado días, que amerita la aplicación de una multa del 5 por millar, llegando al límite del 10% de la fianza de cumplimiento.
•Pronóstico de Finalización: Dictaminó técnicamente que, al ritmo de trabajo observado, la empresa no logrará finalizar el 100% de los renglones en la fecha comprometida (18 de febrero de 2026), aunque aclaró que los faltantes mínimos no afectarán el funcionamiento del centro.</t>
  </si>
  <si>
    <t>ING. RAFAEL ALVAREZ</t>
  </si>
  <si>
    <t>213-2022-UCEE Y CONTRATO MODIFICATORIO 102-2023-UCEE</t>
  </si>
  <si>
    <t>4/05/2024 (SE HACE LA ACLARACIÓN QUE EL PROYECTO SE ENCUENTRA EN EJECUCIÓN, POR LO ESTABLECIDO EN EL ESTATUS)</t>
  </si>
  <si>
    <t>COCESA</t>
  </si>
  <si>
    <t>7987109-7</t>
  </si>
  <si>
    <t>CONSTRUCCION ESCUELA BICENTENARIO, SAN ANTONIO LA PAZ, EL PROGRESO</t>
  </si>
  <si>
    <t>SAN ANTONIO LA PAZ</t>
  </si>
  <si>
    <t>EL PROGRESO</t>
  </si>
  <si>
    <t>EN PROCESO DE RESCISIÓN.</t>
  </si>
  <si>
    <t>Evaluación de Incumplimiento: Documentó el abandono de la obra por parte del contratista y el vencimiento del plazo contractual el 14 de septiembre de 2025. Diagnóstico de Fallas Estructurales: Identificó y reportó deficiencias críticas en la estructura metálica, incluyendo soldaduras mal ejecutadas, falta de alineación en columnas y vigas, y perfiles de acero oxidados. Determinación de Estatus Legal: Emitió el dictamen técnico para iniciar el proceso de rescisión de contrato por incumplimiento.Certificación de Avance: Determinó que el proyecto quedó estancado en un 71.00% de avance físico.</t>
  </si>
  <si>
    <t>ARQ. MARVIN FELIPE</t>
  </si>
  <si>
    <t>90-2022-UCEE Y CONTRATO MODIFICATORIO 243-2022-UCEE</t>
  </si>
  <si>
    <t>COORDINADORA DE LOGISTICA S.A.</t>
  </si>
  <si>
    <t>8547341-3</t>
  </si>
  <si>
    <t>CONSTRUCCION ESCUELA BICENTENARIO FINCA PACUN KM 40.1 CA-9 SUR, KM 2.1 CARRETERA HACIA ALDEA LA PERIQUERA, PALIN, ESCUINTLA</t>
  </si>
  <si>
    <t>PALIN</t>
  </si>
  <si>
    <t>ESCUINTLA</t>
  </si>
  <si>
    <t>RESCISIÓN UNILATERAL SEGÚN RESOLUCIÓN No. SADS-855-2025, DE FECHA 07 DE OCTUBRE DE 2025</t>
  </si>
  <si>
    <t xml:space="preserve">
Se presento a la Asesoría Jurídica de la UCEE las gestiones correspondientes derivadas de la incongruencia entre el avance físico y el avance financiero.
RESCISIÓN UNILATERAL SEGÚN RESOLUCIÓN No. SADS-855-2025, DE FECHA 07 DE OCTUBRE DE 2025
Pendiente recepción y liquidación </t>
  </si>
  <si>
    <t>ING. ALEMAO FUENTES</t>
  </si>
  <si>
    <t>246-2022-UCEE</t>
  </si>
  <si>
    <t>CONSTRUCTORA Y TRANSPORTES JLE</t>
  </si>
  <si>
    <t>2256892-1</t>
  </si>
  <si>
    <t>MEJORAMIENTO INSTITUTO BASICO NACIONAL DE EDUCACIÓN -INEB- MARIA JOSEFA ROSADO LARA, 5TA. CALLE 5-251 CALZADA 15 DE SEP. ZONA 1 SANTA LUCIA COTZUMALGUAPA, ESCUINTLA</t>
  </si>
  <si>
    <t>COTZUMALGUAPA</t>
  </si>
  <si>
    <t>RESCISIÓN UNILATERAL SEGÚN RESOLUCIÓN No. SADS-580-2025, DE FECHA 24 DE JUNIO DE 2025</t>
  </si>
  <si>
    <t>Brindar seguimiento administrativo y esperar el nombramiento de la comisión receptora y liquidadora para la posterior entrega y liquidación del proyecto. Trasladar el informe circunstanciado a la Asesoría Jurídica de la UCEE para determinar lo procedente en función del estatus del proyecto. Consultar el estatus legal oficial del proyecto ante la Asesoría Jurídica. Brindar acompañamiento a la Fiscalía Contra la Corrupción del Ministerio Público el 13 de febrero de 2026 para dar información técnica y realizar un recorrido por las instalaciones.</t>
  </si>
  <si>
    <t>256-2022-UCEE</t>
  </si>
  <si>
    <t>CONSTRUCCION Y TRANSPORTES ESPIBA</t>
  </si>
  <si>
    <t>4988152-3</t>
  </si>
  <si>
    <t>CONSTRUCCION ESCUELA BICENTENARIO 26 AVENIDA 1-55 PARCELA 96 ZONA 3, PARCELAMIENTO LAS NUBES, VILLA NUEVA, GUATEMALA</t>
  </si>
  <si>
    <t>VILLA NUEVA</t>
  </si>
  <si>
    <t xml:space="preserve">GUATEMALA </t>
  </si>
  <si>
    <t>•	 SUSPENDIDO POR ESTUDIOS Y DOCUMENTOS DE CAMBIO.
•	 VIABILIDAD POR PARTE DE MESA TÉCNICA - LEY DEL PRESUPUESTO ART. 83 DECRETO 36-2024 (SIEMPRE Y CUANDO CUMPLAN CON LA PAPELERÍA DEL MP Y CGC).</t>
  </si>
  <si>
    <t>Verificación de avance físico: Realizó inspecciones técnicas, la más reciente el 5 de febrero de 2026, donde determinó un avance físico aproximado del 80%. Identificación de fallas estructurales: Detectó y documentó problemas de falla en segmentos de los muros perimetrales derivados de un enjambre sísmico ocurrido en julio de 2025. Constatación de ejecución bajo suspensión: Documentó que la empresa constructora continúa ejecutando trabajos a pesar de que el proyecto se encuentra oficialmente suspendido.Evaluación de servicios básicos: Identificó la falta de una "candela municipal" para el desfogue de aguas tratadas y la ausencia de postes eléctricos cercanos (a más de 500 metros), lo que impide la conexión de la acometida eléctrica.
Reuniones de trabajo: Ha liderado múltiples mesas técnicas con el equipo de la constructora (Corporación Ankara S.A.) y la Sección de Costos de la UCEE para explicar las correcciones necesarias. Vía conciliatoria: Sostuvo una reunión de carácter conciliatorio el 9 de septiembre de 2025 para establecer plazos de entrega de cronogramas y estudios técnicos pendientes.
Exigencia de estudios técnicos: Ha requerido formalmente a la empresa la realización de estudios de infiltración, estructurales y pruebas de bombeo para el pozo mecánico. Advertencia de riesgos: Dictaminó la necesidad de definir soluciones técnicas adecuadas antes de la entrega para garantizar la seguridad de la población estudiantil. Recomendación de sanciones: Advirtió que cualquier trabajo autorizado en el Documento de Cambio No. 2 que no esté finalizado correrá con multas por vencimiento de plazo.</t>
  </si>
  <si>
    <t>ARQ. NELLY AGUILERA</t>
  </si>
  <si>
    <t>255-2023-UCEE</t>
  </si>
  <si>
    <t>CORPORACION ANKARA, S.A.</t>
  </si>
  <si>
    <t>6571174-2</t>
  </si>
  <si>
    <t>CONRED</t>
  </si>
  <si>
    <t>MEJORAMIENTO INFRAESTRUCTURA CONRED, AVENIDA HINCAPIÉ 21-72 ZONA 13, GUATEMALA, GUATEMALA.</t>
  </si>
  <si>
    <t>GUATEMALA</t>
  </si>
  <si>
    <t>RESCISIÓN UNILATERAL SEGÚN RESOLUCIÓN No. SADS-916-2025, DE FECHA  23 DE OCTUBRE DE 2025</t>
  </si>
  <si>
    <t>Evaluación de avance físico real: Determinó que el proyecto tiene un avance físico real del 59.45%, identificando una brecha del 16.34% por debajo del avance financiero pagado (75.79%).
Revisión de materiales: Verificó que, aunque la empresa alegaba tener materiales en su poder, estos no estaban instalados, por lo que el supervisor indicó que no podían ser tomados en cuenta para la ponderación física.
Reuniones de conciliación: Lideró múltiples reuniones (16 de mayo, 21 de julio de 2025) con el propietario de la "Empresa Mercantil Alianza" y autoridades de CONRED para tratar la incongruencia físico-financiera.
Agotamiento de la vía administrativa: Ante la negativa del contratista de aceptar el informe técnico y su retiro de las mesas de trabajo, el supervisor dio por agotada la vía conciliatoria el 21 de julio de 2025.</t>
  </si>
  <si>
    <t>ARQ. WILLIAM POPA</t>
  </si>
  <si>
    <t>283-2023-UCEE</t>
  </si>
  <si>
    <t>ALIANZA</t>
  </si>
  <si>
    <t>131032-1</t>
  </si>
  <si>
    <t>CONSTRUCCION HOSPITAL CABECERA MUNICIPAL DE SAN PEDRO NECTA, HUEHUETENANGO</t>
  </si>
  <si>
    <t>SAN PEDRO NECTA</t>
  </si>
  <si>
    <t>HUEHUETENANGO</t>
  </si>
  <si>
    <t>RESCISIÓN SEGÚN RESOLUCIÓN No. SADS-542-2024 DE FECHA 17 DE OCTUBRE 2024</t>
  </si>
  <si>
    <t xml:space="preserve">Verificación de incumplimiento total: El supervisor determinó que el proyecto no fue construido en su totalidad, incumpliendo con lo establecido en el Contrato Administrativo 263-2021-UCEE.
Control de cantidades y especificaciones: Se constató que el contratista no cumplió con las cantidades de trabajo originalmente contratadas ni con las ampliaciones amparadas en documentos de cambio, planos constructivos y especificaciones técnicas.
  Fiscalización de tiempos: La supervisión documentó el incumplimiento del tiempo de ejecución establecido y de las prórrogas contractuales concedidas.
Medición de avance físico real: El supervisor realizó una medición técnica que determinó un avance real de únicamente el 38.63%.
Análisis de discrepancia financiera: Se identificó una variación del 51.37% entre el avance físico proyectado y lo realmente ejecutado; sin embargo, se verificó que se pagó un total del 90.00% en estimaciones (la suma del avance real y el proyectado no ejecutado).
Seguimiento de pagos y anticipo: El supervisor corroboró la realización de 14 pagos estimados, en los cuales se amortizó parte del anticipo otorgado, quedando pendiente únicamente el pago final.
Generación de informe técnico: El arquitecto a cargo de la supervisión de la Unidad de Construcción de Edificios del Estado (UCEE) emitió el dictamen detallando la falta de finalización del proyecto para las acciones administrativas que correspondan.
Rescisión del proyecto / Recepción y liquidación 
Continuación con mesa técnica interinstitucional </t>
  </si>
  <si>
    <t>263-2021-UCEE</t>
  </si>
  <si>
    <t>GRUPO DE ANÁLISIS, DISEÑO Y CONSTRUCCIÓN, SOCIEDAD ANÓNIMA</t>
  </si>
  <si>
    <t>9036473-2</t>
  </si>
  <si>
    <t>CONSTRUCCION EDIFICIO DELEGACION DEPARTAMENTAL DE SEGEPLAN, ZONA 8, HUEHUETENANGO, HUEHUETENANGO</t>
  </si>
  <si>
    <t xml:space="preserve">SUSPENDIDO/ PENDIENTE PROCESO CONCILIATORIO, POR SITUACIONES DE EMBARGO DE LA CONSTRUCTORA.  </t>
  </si>
  <si>
    <t>Identificación de deficiencias técnicas: El supervisor constató que las columnas de la construcción se encuentran desalineadas y presentan "ratoneras" en su fundición, lo cual evidencia segregación del concreto por una caída muy alta al momento de fundir o falta de vibración.
Verificación de cambios no regulados: Se determinó que el proyecto sufrió cambios en la cimentación (diferentes tipos de zapatas) que no fueron regulados mediante un documento de cambio, a pesar de haber sido cobrados en la estimación No. 1.
Revisión de memoria de cálculo: El supervisor verificó que la memoria de cálculo estructural presentada por el contratista no refleja los cambios reales ejecutados en el proyecto.
Gestión ante embargo de créditos: Debido a un "Embargo de créditos o cuentas por pagar" que afecta al total del proyecto, el supervisor solicitó la intervención del departamento de asesoría jurídica para tomar medidas legales, ante la incerteza de que el contratista pueda utilizar los fondos pagados.
Determinación de acciones administrativas: Se estableció que, para regularizar el proyecto, es necesario realizar un decremento y crear un renglón nuevo para los trabajos que ya se encuentran ejecutados.
Supervisión y generación de informes: El ingeniero a cargo realizó la supervisión de campo y generó el informe técnico detallando las irregularidades encontradas para el seguimiento de la Unidad de Construcción de Edificios del Estado (UCEE).</t>
  </si>
  <si>
    <t>ING. RONY GONZALEZ</t>
  </si>
  <si>
    <t>266-2023-UCEE</t>
  </si>
  <si>
    <t>CONSTRUCCION ESCUELA BICENTENARIO, MORALES, IZABAL</t>
  </si>
  <si>
    <t>MORALES</t>
  </si>
  <si>
    <t>IZABAL</t>
  </si>
  <si>
    <t>• SUSPENDIDO, EL CONTRATISTA SOLICITA LA MISMA POR MOTIVO DE REDISEÑO DE MÓDULOS Y PLANTA DE TRATAMIENTO.
• CONSTRUCTORA MANIFESTÓ SU POSTURA DE REALIZAR UNA RESCISIÓN DE MUTUO ACUERDO, EN LA CUAL SE ACORDÓ QUE TIENEN QUE INGRESAR SU SOLICITUD DE MANERA FORMAL.                                  •   VIABILIDAD POR PARTE DE MESA TECNICA - LEY DEL PRESUPUESTO ART. 83 DECRETO 36-2024 (SIEMPRE Y CUANDO CUMPLAN CON LA PAPELERÍA DEL MP Y CGC).</t>
  </si>
  <si>
    <r>
      <rPr>
        <u/>
        <sz val="14"/>
        <color rgb="FF000000"/>
        <rFont val="Aptos Narrow"/>
        <scheme val="minor"/>
      </rPr>
      <t xml:space="preserve">Verificación Física en Campo
</t>
    </r>
    <r>
      <rPr>
        <sz val="14"/>
        <color rgb="FF000000"/>
        <rFont val="Aptos Narrow"/>
        <scheme val="minor"/>
      </rPr>
      <t xml:space="preserve">•Inspección Conjunta: Visitó el proyecto en compañía del ingeniero representante de la empresa constructora (Sistemas y Servicios de Ingeniería S.A.) para medir físicamente las cantidades de obra ejecutadas.
•Detección de Discrepancias: Constató que existen diferencias entre las cantidades contratadas y las realmente ejecutadas en campo, encontrando renglones con mayor ejecución y otros con menor ejecución de lo requerido.
•Levantamiento Fotográfico y de Estado: Documentó el estado de cada uno de los módulos (A-I) y áreas exteriores mediante fotografías.
•Evaluación de Daños: Reportó que la obra construida se está deteriorando debido a que no ha sido protegida contra las inclemencias del tiempo.
</t>
    </r>
    <r>
      <rPr>
        <u/>
        <sz val="14"/>
        <color rgb="FF000000"/>
        <rFont val="Aptos Narrow"/>
        <scheme val="minor"/>
      </rPr>
      <t xml:space="preserve">Control Financiero y Revisión de Estimaciones
</t>
    </r>
    <r>
      <rPr>
        <sz val="14"/>
        <color rgb="FF000000"/>
        <rFont val="Aptos Narrow"/>
        <scheme val="minor"/>
      </rPr>
      <t>•Rechazo de Cobros Improcedentes: Denegó el pago de varios renglones incluidos en las estimaciones que no fueron ejecutados en la obra. Esto incluye el rechazo del pago de losacero y losa tradicional en la estimación 4 , así como el cobro de 399.58 ml de cerco provisional y 8 baños portátiles en la estimación 1.
•Cálculo de Saldos y Devoluciones: Realizó una conciliación financiera detallada. Determinó que, debido a los renglones cobrados y no cumplidos en el pago parcial de la estimación 4, la empresa constructora tiene una diferencia que debería devolver por Q631,662.43.
•Proyección de Pagos: Calculó un nuevo avance físico que la empresa podría cobrar en una estimación 5 (Q1,248,559.37) y, tras restar lo que la empresa debe devolver, estableció que el saldo a pagar a la constructora sería de Q 616,896.94.
•Control de Obra Extra: Identificó e indicó que existe un monto de Q 513,907.64 por trabajos realizados que superan lo contratado, aclarando que no se pueden pagar sin la gestión previa de documentos de cambio.
Gestión Contractual
•Manejo de Rescisión: Ante la solicitud verbal de la empresa constructora para rescindir el contrato (para evitar multas por vencimiento de plazo), les instruyó que deben realizar dicha solicitud de manera oficial para poder continuar con el trámite.</t>
    </r>
  </si>
  <si>
    <t>ING. MATIAS MORALES</t>
  </si>
  <si>
    <t>292-2022-UCEE</t>
  </si>
  <si>
    <t>SISTEMAS Y SERVICIOS DE INGENIERÍA, SOCIEDAD ANÓNIMA</t>
  </si>
  <si>
    <t>978135-8</t>
  </si>
  <si>
    <t>DEFENSA</t>
  </si>
  <si>
    <t>CONSTRUCCION EDIFICIO CENTRO DE ESTUDIOS TÉCNICO MARÍTIMO CETMAR, BARRIO EL ESTRECHO, PUERTO BARRIOS, IZABAL.</t>
  </si>
  <si>
    <t>PUERTO BARRIOS</t>
  </si>
  <si>
    <r>
      <rPr>
        <u/>
        <sz val="14"/>
        <color rgb="FF000000"/>
        <rFont val="Aptos Narrow"/>
        <scheme val="minor"/>
      </rPr>
      <t xml:space="preserve">Acciones Técnicas y Verificación en Campo
</t>
    </r>
    <r>
      <rPr>
        <sz val="14"/>
        <color rgb="FF000000"/>
        <rFont val="Aptos Narrow"/>
        <scheme val="minor"/>
      </rPr>
      <t xml:space="preserve">•Monitoreo y Reporte de Avance: El supervisor rinde informes de avance en cada visita que realiza al proyecto. En la supervisión más reciente (25 de febrero), verificó en campo y documentó fotográficamente que el avance físico real es de apenas un 4.00%.
•Control de Bitácora: Como medida de seguimiento continuo, se exige a la empresa constructora que suba información semanalmente a la bitácora electrónica.
•Revisión y Aprobación de Rediseño: Derivado de estudios de suelo, se determinó que el terreno no era apto para cimentar la estructura de PVC originalmente planificada. Tras analizar la situación, se aprobaron los Documentos de Cambio No. 1 en diciembre de 2025, autorizando la modificación del sistema constructivo a block con pilotes y losa de cimentación.
</t>
    </r>
    <r>
      <rPr>
        <u/>
        <sz val="14"/>
        <color rgb="FF000000"/>
        <rFont val="Aptos Narrow"/>
        <scheme val="minor"/>
      </rPr>
      <t xml:space="preserve">Gestión Administrativa, Contractual y Financiera
</t>
    </r>
    <r>
      <rPr>
        <sz val="14"/>
        <color rgb="FF000000"/>
        <rFont val="Aptos Narrow"/>
        <scheme val="minor"/>
      </rPr>
      <t xml:space="preserve">•Auditoría de Cronograma y Exigencias al Contratista: Al constatar el progreso actual (4.00%), se determinó un atraso crítico, ya que según el cronograma vigente el proyecto debería reflejar un 75% de avance. En consecuencia, se ha requerido a la empresa constructora que apresure el ritmo de ejecución, el cual ha estado afectado por los frentes fríos y fuertes lluvias en Izabal.
•Aprobación de Estimaciones: Se analizó y documentó el pago de la Estimación No. 1 (Acta No. 7-2025), la cual totaliza Q 350,000.00. A este monto se le aplicó el descuento correspondiente a la amortización del 20% del anticipo (Q 70,000.00), resultando en un pago líquido de Q 280,000.00.
•Levantamiento de Suspensión: Se gestionó la reactivación oficial del proyecto el 13 de agosto de 2025, emitiendo la Resolución No. 0.1-279-2025 FP/et y el Acta No. 3-2025 para dejar sin efecto la suspensión originada previamente por falta de presupuesto.
</t>
    </r>
    <r>
      <rPr>
        <u/>
        <sz val="14"/>
        <color rgb="FF000000"/>
        <rFont val="Aptos Narrow"/>
        <scheme val="minor"/>
      </rPr>
      <t xml:space="preserve">Coordinación Interinstitucional
</t>
    </r>
    <r>
      <rPr>
        <sz val="14"/>
        <color rgb="FF000000"/>
        <rFont val="Aptos Narrow"/>
        <scheme val="minor"/>
      </rPr>
      <t>•Gestión de Reuniones Estratégicas: Se adquirió el compromiso de coordinar y convocar una mesa de trabajo interinstitucional. Esta reunión involucrará al alcalde municipal de Puerto Barrios, autoridades del Ministerio de Comunicaciones y al Ministro de la Defensa, con el propósito de rendir informes sobre la intervención en la obra, debido a que esta se ubica dentro de terrenos de una colonia militar</t>
    </r>
  </si>
  <si>
    <t>297-2023-UCEE</t>
  </si>
  <si>
    <t>MANTENIMIENTO DE OBRAS TARACENA RODAS</t>
  </si>
  <si>
    <t>740965-6</t>
  </si>
  <si>
    <t>CONSTRUCCION ESCUELA BICENTENARIO, MOYUTA, JUTIAPA</t>
  </si>
  <si>
    <t>MOYUTA</t>
  </si>
  <si>
    <t>JUTIAPA</t>
  </si>
  <si>
    <t>•	 EN EJECUCIÓN
•	 VIABILIDAD POR PARTE DE MESA TECNICA - LEY DEL PRESUPUESTO ART. 83 DECRETO 36-2024 (SIEMPRE Y CUANDO CUMPLAN CON LA PAPELERÍA DEL MP Y CGC).</t>
  </si>
  <si>
    <r>
      <rPr>
        <u/>
        <sz val="14"/>
        <color rgb="FF000000"/>
        <rFont val="Aptos Narrow"/>
        <scheme val="minor"/>
      </rPr>
      <t xml:space="preserve">Acciones Técnicas y Verificación en Campo
</t>
    </r>
    <r>
      <rPr>
        <sz val="14"/>
        <color rgb="FF000000"/>
        <rFont val="Aptos Narrow"/>
        <scheme val="minor"/>
      </rPr>
      <t xml:space="preserve">•Inspecciones Rutinarias: El supervisor realiza visitas al sitio de la obra para verificar el avance físico y asegurarse del cumplimiento de los planos de diseño y especificaciones técnicas. Por ejemplo, reporta que el 4 de febrero de 2026 se llevó a cabo una supervisión junto al superintendente de la constructora.
•Identificación y Aprobación de Mejoras: El supervisor detectó la necesidad de realizar ajustes que no estaban en la planificación original para garantizar el buen funcionamiento del centro educativo. Específicamente, determinó que antes del replanteo y trazo de las estructuras en los módulos de primaria y preprimaria, era necesario elevar la cota de las plataformas 1 y 2 mediante relleno estructural para prevenir complicaciones en la época de lluvia, debido a que el proyecto se encuentra a un nivel inferior respecto a la pendiente de la calle.
•Documentación de Avances: El supervisor lleva un registro fotográfico del avance, documentando actividades como la instalación de paneles y muros de PVC, losas de cimentación, armados de acero, excavación de zapatas, entre otras labores.
</t>
    </r>
    <r>
      <rPr>
        <u/>
        <sz val="14"/>
        <color rgb="FF000000"/>
        <rFont val="Aptos Narrow"/>
        <scheme val="minor"/>
      </rPr>
      <t xml:space="preserve">Gestión Contractual, Administrativa y Financiera
</t>
    </r>
    <r>
      <rPr>
        <sz val="14"/>
        <color rgb="FF000000"/>
        <rFont val="Aptos Narrow"/>
        <scheme val="minor"/>
      </rPr>
      <t>•Gestión de Estimaciones y Cuotas: El supervisor detalla el estado financiero del proyecto, indicando que a la fecha se han pagado Q18,351,556.94. Señala que gestionará la solicitud de cuota para el pago complementario de la Estimación No. 5 (la cual tuvo un pago parcial a finales de 2025 por falta de presupuesto). Además, reporta que la Estimación No. 6 (solicitada en enero de 2026) se encuentra en proceso de pago y que, según el departamento financiero, habrá disponibilidad presupuestaria a finales de marzo para pagar ambas.
•Registro Histórico y Documentos de Cambio: El supervisor documenta que durante la ejecución de la obra se han aprobado dos Documentos de Cambio (que incluyen órdenes de cambio, trabajo suplementario y trabajo extra) necesarios para mejoras estructurales y arquitectónicas. Aclara que no se ha requerido un contrato modificatorio, pues dichos cambios no han superado el 20% del contrato original.
•Control de Plazos y Prórrogas: El supervisor lleva el control cronológico de la obra, incluyendo el registro de una suspensión temporal y su respectivo levantamiento. También documenta que se aprobó una prórroga por ampliación de tiempo de 365 días calendario, solicitada por el contratista debido a los trabajos extras y suplementarios aprobados en el Documento de Cambio No. 1, fijando la nueva fecha de finalización para el 20 de enero de 2027.</t>
    </r>
  </si>
  <si>
    <t>299-2023-UCEE</t>
  </si>
  <si>
    <t>INSPIRA CONSTRUCCIONES</t>
  </si>
  <si>
    <t>4658680-6</t>
  </si>
  <si>
    <t>CONSTRUCCION ESCUELA BICENTENARIO, LA LIBERTAD, PETEN.</t>
  </si>
  <si>
    <t>LA LIBERTAD</t>
  </si>
  <si>
    <t>PETEN</t>
  </si>
  <si>
    <t>•	 PLAZO CONTRACTUAL VENCIDO DESDE EL 1 DE JULIO DE 2025
•	 SE HICIERON CORRECCIONES POSTERIOR A LA ENTREGA DE CARTA DE FINALIZACIÓN. 
•	 VIABILIDAD POR PARTE DE MESA TECNICA - LEY DEL PRESUPUESTO ART. 83 DECRETO 36-2024 (SIEMPRE Y CUANDO CUMPLAN CON LA PAPELERÍA DEL MP Y CGC).</t>
  </si>
  <si>
    <r>
      <rPr>
        <u/>
        <sz val="15"/>
        <color rgb="FF000000"/>
        <rFont val="Aptos Narrow"/>
        <scheme val="minor"/>
      </rPr>
      <t xml:space="preserve">Verificación Física y Control de Calidad
</t>
    </r>
    <r>
      <rPr>
        <sz val="15"/>
        <color rgb="FF000000"/>
        <rFont val="Aptos Narrow"/>
        <scheme val="minor"/>
      </rPr>
      <t xml:space="preserve">•Rechazo de Recepción Inicial y Sanciones: La supervisión externa rechazó la carta de finalización que la constructora entregó el 1 de julio de 2025. Determinó que los trabajos no estaban al 100% y otorgó más tiempo, pero con la advertencia de que la constructora trabajaría bajo multa hasta concluir la obra en su totalidad.
•Aprobación de Trabajos en Campo: Llevó a cabo una visita conjunta el 5 de febrero de 2026, en la cual finalmente comprobó y aprobó que los trabajos físicos están terminados al 100%.
•Documentación de Obra Terminada: Registró fotográficamente la finalización de los módulos educativos (A al I), muro perimetral, canchas, áreas verdes, así como el correcto funcionamiento del equipamiento, incluyendo plantas de energía eléctrica y bombas de agua.
</t>
    </r>
    <r>
      <rPr>
        <u/>
        <sz val="15"/>
        <color rgb="FF000000"/>
        <rFont val="Aptos Narrow"/>
        <scheme val="minor"/>
      </rPr>
      <t xml:space="preserve">Gestión Contractual y Administrativa
</t>
    </r>
    <r>
      <rPr>
        <sz val="15"/>
        <color rgb="FF000000"/>
        <rFont val="Aptos Narrow"/>
        <scheme val="minor"/>
      </rPr>
      <t xml:space="preserve">•Control Histórico de Modificaciones: A lo largo de la ejecución, la supervisión evaluó y aprobó un total de 7 Documentos de Cambio para la regularización de los trabajos.
•Requerimiento de Planos As-Built: Solicitó formalmente a la empresa constructora la presentación de los planos finales del proyecto tras la finalización física.
•Trámite de Recepción (En proceso): Actualmente, la supervisora externa tiene el compromiso de integrar el expediente final y hacer entrega del "informe pormenorizado". Esta acción es el paso previo indispensable para solicitar la conformación de la comisión receptora y liquidadora.
•Se tiene conocimiento de la muerte del contratista. 
</t>
    </r>
  </si>
  <si>
    <t>214-2022-UCEE Y CONTRATO MODIFICATORIO 109-2024-UCEE</t>
  </si>
  <si>
    <t>CONSULTORIA Y CONSTRUCTORA DEL KYRIOS.</t>
  </si>
  <si>
    <t>176390-3</t>
  </si>
  <si>
    <t>CONSTRUCCION HOSPITAL DE SAN BENITO, PETEN</t>
  </si>
  <si>
    <t>SAN BENITO</t>
  </si>
  <si>
    <t xml:space="preserve">• SUSPENDIDO POR CDP.
• PENDIENTE DE ENTREGA PROGRAMA MÉDICO ARQUITECTÓNICO POR PARTE DE LA CONSTRUCTORA. </t>
  </si>
  <si>
    <r>
      <rPr>
        <u/>
        <sz val="14"/>
        <color rgb="FF000000"/>
        <rFont val="Aptos Narrow"/>
        <scheme val="minor"/>
      </rPr>
      <t xml:space="preserve">Acciones Técnicas y Verificación en Campo
</t>
    </r>
    <r>
      <rPr>
        <sz val="14"/>
        <color rgb="FF000000"/>
        <rFont val="Aptos Narrow"/>
        <scheme val="minor"/>
      </rPr>
      <t xml:space="preserve">•Auditoría de Cantidades Ejecutadas vs. Pagadas: El verificador identificó una discrepancia medible en la construcción del muro perimetral. Físicamente constató la ejecución de 958.28 metros lineales, pero detectó que en la estimación 2 de la fase 3 se pagaron 1,046.95 metros lineales, evidenciando una diferencia cobrada en exceso de 88.67 metros lineales.
•Control del Nivel de Avance: Realizó la medición del avance físico global, determinando un progreso de apenas el 15.13% frente a un 15.14% financiero.
•Evaluación de Fases (Fast Track): Verificó que, aunque el proyecto bajo la modalidad "Llave en mano" debía avanzar simultáneamente en diseño y construcción, en las fases 1 y 2 (Diseño y Planificación) solo hay un 5.37% de avance, limitándose a topografía y huella. En la fase 3 (Construcción), constató trabajos preliminares, movimiento de tierras y cerramiento perimetral.
</t>
    </r>
    <r>
      <rPr>
        <u/>
        <sz val="14"/>
        <color rgb="FF000000"/>
        <rFont val="Aptos Narrow"/>
        <scheme val="minor"/>
      </rPr>
      <t xml:space="preserve">Gestión Administrativa y Resolución de Conflictos
</t>
    </r>
    <r>
      <rPr>
        <sz val="14"/>
        <color rgb="FF000000"/>
        <rFont val="Aptos Narrow"/>
        <scheme val="minor"/>
      </rPr>
      <t xml:space="preserve">•Seguimiento a la Suspensión: Documentó que la obra se encuentra suspendida desde el 7 de febrero de 2024 por falta de asignación presupuestaria por parte del Ministerio de Salud (MSPAS).
•Manejo de la Vía Conciliatoria: Participó en el proceso de conciliación con la constructora (Acta No. 2-2025 del 27 de agosto de 2025) para buscar alternativas viables para el proyecto.
•Exigencia de Entregables Críticos: Estableció el compromiso formal con la constructora (OPTESA) para que hiciera entrega de la información completa del "Programa Médico Arquitectónico" a más tardar el 30 de enero de 2026, documento indispensable para el análisis técnico.
•Gestión Interinstitucional: Se encuentra trabajando en conjunto con el MSPAS y DIPLADI para analizar y concretar enmiendas al convenio de cooperación interinstitucional, buscando que la ejecución presupuestaria pase a ser financiada con fondos del CIV/UCEE.
</t>
    </r>
    <r>
      <rPr>
        <u/>
        <sz val="14"/>
        <color rgb="FF000000"/>
        <rFont val="Aptos Narrow"/>
        <scheme val="minor"/>
      </rPr>
      <t xml:space="preserve">Seguimiento Legal y Recomendaciones de Alto Nivel
</t>
    </r>
    <r>
      <rPr>
        <sz val="14"/>
        <color rgb="FF000000"/>
        <rFont val="Aptos Narrow"/>
        <scheme val="minor"/>
      </rPr>
      <t>•Documentación de Denuncias: Dejó constancia de que el CIV presentó una denuncia (actualmente en investigación) debido a la modalidad de contratación inicial y a tres modificaciones contractuales que alteraron la naturaleza original del proyecto.
•Aplicación de Directrices de la Mesa Técnica: Tras exponer el caso a la mesa técnica (art. 83 de la Ley de Presupuesto 2025), el verificador adoptó las recomendaciones emitidas para viabilizar el proyecto: regularizar el avance físico con el financiero, mantener el proyecto en fase de pre-inversión y solucionar las diferencias contractuales por la vía conciliatoria.</t>
    </r>
  </si>
  <si>
    <t>108-2023-UCEE Y CONTRATO MODIFICATORIO    276-2023-UCEE,    287-2023-UCEE,     108-2024-UCEE</t>
  </si>
  <si>
    <t>OPCION TECNICA, S.A.</t>
  </si>
  <si>
    <t>2409853-1</t>
  </si>
  <si>
    <t>MEJORAMIENTO ESCUELA PRIMARIA EOUM JM TIPO FEDERACIÓN JOSÉ BENÍTEZ GÓMEZ, FLORES, PETÉN.</t>
  </si>
  <si>
    <t>FLORES</t>
  </si>
  <si>
    <t>PLAZO CONTRACTUAL VENCIDO / CONTINUACIÓN DE EJECUCIÓN BAJO MULTA POR RETRASO EN LA ENTREGA DE LA OBRA POR PARTE DE LA ENTIDAD CONSTRUCTORA DE ACUERDO A CONCILIACIÓN REALIZADA.</t>
  </si>
  <si>
    <r>
      <rPr>
        <u/>
        <sz val="14"/>
        <color rgb="FF000000"/>
        <rFont val="Aptos Narrow"/>
        <scheme val="minor"/>
      </rPr>
      <t xml:space="preserve">Evaluación Técnica y Verificación en Campo
</t>
    </r>
    <r>
      <rPr>
        <sz val="14"/>
        <color rgb="FF000000"/>
        <rFont val="Aptos Narrow"/>
        <scheme val="minor"/>
      </rPr>
      <t xml:space="preserve">•Auditoría de Avance y Tiempos: Realizó supervisiones recientes (29 de enero y 17 de febrero de 2026) en las que evidenció a nivel técnico que, aunque la empresa constructora sigue laborando en campo, el proyecto es materialmente imposible de terminar para la fecha conciliada (11 de febrero de 2026).
•Medición de Progreso Real: Cuantificó que el avance físico total es del 71.68%. Además, documentó que desde que venció el plazo original se ha logrado apenas un 19.94% de avance adicional.
•Se llevó a cabo reunión de vía conciliatoria y administrativa, con el objeto que el proyecto finalizara en el mes de febrero. 
•Reconocimiento de Obra Parcial: Llevó el control de que existen renglones de trabajo no cuantificados en el porcentaje general por estar a un nivel de avance parcial (ej. instalación de ventiladores, teléfono y datos, pintura de muros, campos de infiltración).
</t>
    </r>
    <r>
      <rPr>
        <u/>
        <sz val="14"/>
        <color rgb="FF000000"/>
        <rFont val="Aptos Narrow"/>
        <scheme val="minor"/>
      </rPr>
      <t xml:space="preserve">Gestión Administrativa y Contractual
</t>
    </r>
    <r>
      <rPr>
        <sz val="14"/>
        <color rgb="FF000000"/>
        <rFont val="Aptos Narrow"/>
        <scheme val="minor"/>
      </rPr>
      <t xml:space="preserve">•Manejo de Solicitudes y Justificaciones: En las mesas de seguimiento (la más reciente el 3 de febrero de 2026), recibió y sometió a análisis la nueva petición de la empresa constructora de ampliar el plazo 30 días más. La empresa justificó el atraso por problemas climáticos y escasez de materiales, solicitud que actualmente la UCEE está evaluando si procede.
•Control de Modificaciones: Documentó y controló el registro histórico de suspensiones, levantamientos, prórrogas y la aprobación de 4 Documentos de Cambio que elevaron el monto original de la obra en un 5.82%.
</t>
    </r>
    <r>
      <rPr>
        <u/>
        <sz val="14"/>
        <color rgb="FF000000"/>
        <rFont val="Aptos Narrow"/>
        <scheme val="minor"/>
      </rPr>
      <t xml:space="preserve">Análisis de Riesgos y Recomendaciones
</t>
    </r>
    <r>
      <rPr>
        <sz val="14"/>
        <color rgb="FF000000"/>
        <rFont val="Aptos Narrow"/>
        <scheme val="minor"/>
      </rPr>
      <t>•Evaluación de Conflictos Sociales: Reportó el riesgo generado porque los docentes del establecimiento se niegan a dejar las instalaciones durante los trabajos debido a la falta de lugares alternos, lo que expone a los alumnos, retrasa la obra y arriesga los acabados ya terminados.
•Estrategia Legal: En su lugar, recomendó evaluar la ruta legal y administrativa pertinente para abordar el incumplimiento de la empresa de manera que se garantice la finalización del proyecto.</t>
    </r>
  </si>
  <si>
    <t>111-2024-UCEE Y CONTRATO MODIFICATORIO 009-2024-UCEE/DJ</t>
  </si>
  <si>
    <t>13/10/25 (SE HACE LA ACLARACIÓN QUE EL PROYECTO SE ENCUENTRA EN EJECUCIÓN, POR LO ESTABLECIDO EN EL ESTATUS)</t>
  </si>
  <si>
    <t>CONSTRUCCIONES MOLINA</t>
  </si>
  <si>
    <t>9290991-4</t>
  </si>
  <si>
    <t>CONSTRUCCION HOSPITAL DE COATEPEQUE, QUETZALTENANGO</t>
  </si>
  <si>
    <t>COATEPEQUE</t>
  </si>
  <si>
    <t>QUETZALTENANGO</t>
  </si>
  <si>
    <t xml:space="preserve">• SUSPENDIDO POR CDP / SE AGOTÓ VÍA CONCILIATORIA
• PENDIENTE DE ENTREGA DE CORRECCIONES REALIZADAS POR DIPLADI PROGRAMA MÉDICO ARQUITECTÓNICO POR PARTE DE LA CONSTRUCTORA. </t>
  </si>
  <si>
    <r>
      <rPr>
        <u/>
        <sz val="14"/>
        <color rgb="FF000000"/>
        <rFont val="Aptos Narrow"/>
        <scheme val="minor"/>
      </rPr>
      <t xml:space="preserve">Evaluación Técnica y Control de Ejecución
</t>
    </r>
    <r>
      <rPr>
        <sz val="14"/>
        <color rgb="FF000000"/>
        <rFont val="Aptos Narrow"/>
        <scheme val="minor"/>
      </rPr>
      <t xml:space="preserve">•Detección de Inviabilidad Espacial/Presupuestaria: Identificó, al cruzar el programa médico arquitectónico con el diseño propuesto, que la obra suma más de 31,000 metros cuadrados, concluyendo que el presupuesto actual no es suficiente para ejecutar esa magnitud.
</t>
    </r>
    <r>
      <rPr>
        <u/>
        <sz val="14"/>
        <color rgb="FF000000"/>
        <rFont val="Aptos Narrow"/>
        <scheme val="minor"/>
      </rPr>
      <t xml:space="preserve">Auditoría Contractual y Administrativa
</t>
    </r>
    <r>
      <rPr>
        <sz val="14"/>
        <color rgb="FF000000"/>
        <rFont val="Aptos Narrow"/>
        <scheme val="minor"/>
      </rPr>
      <t xml:space="preserve">•Seguimiento a Suspensión: Documentó el control de la suspensión vigente desde el 7 de febrero de 2024, originada por la falta de disponibilidad presupuestaria (CDP).
•Detección de Vacíos Legales y Anomalías: Realizó una revisión crítica de los tres contratos modificatorios. Determinó que estos desvirtuaron el objeto del contrato original, ya que eliminaron la restricción de trabajar por fases (estudios, diseño y construcción) y permitieron ejecutarlas y pagarlas de manera simultánea. Asimismo, señaló que el modificatorio 3 entra en contradicción al dejar abierta la puerta a pagos adicionales y trabajos extras.
•Control de Plazos: Advirtió que al proyecto solo le restan 72 días de tiempo contractual, lo cual es materialmente insuficiente para concluir la obra.
</t>
    </r>
    <r>
      <rPr>
        <u/>
        <sz val="14"/>
        <color rgb="FF000000"/>
        <rFont val="Aptos Narrow"/>
        <scheme val="minor"/>
      </rPr>
      <t xml:space="preserve">Gestión de Riesgos y Aspectos Legales
</t>
    </r>
    <r>
      <rPr>
        <sz val="14"/>
        <color rgb="FF000000"/>
        <rFont val="Aptos Narrow"/>
        <scheme val="minor"/>
      </rPr>
      <t xml:space="preserve">•Alerta sobre Riesgo de Pérdida de Terreno: Analizó el contrato de donación del terreno otorgado por el Grupo Hame y alertó sobre cláusulas restrictivas críticas (obligación de iniciar trabajos en menos de dos años y requerimientos específicos de coordenadas para el desfogue de aguas). Advirtió que el incumplimiento de estas condiciones podría derivar en la revocación de la donación y pérdida del terreno.
</t>
    </r>
    <r>
      <rPr>
        <u/>
        <sz val="14"/>
        <color rgb="FF000000"/>
        <rFont val="Aptos Narrow"/>
        <scheme val="minor"/>
      </rPr>
      <t xml:space="preserve">Coordinación Interinstitucional y Acuerdos
</t>
    </r>
    <r>
      <rPr>
        <sz val="14"/>
        <color rgb="FF000000"/>
        <rFont val="Aptos Narrow"/>
        <scheme val="minor"/>
      </rPr>
      <t xml:space="preserve">•Manejo de Mesas Técnicas: Gestionó y participó en reuniones estratégicas con el MSPAS, DIPLADI y el Director del Hospital de Coatepeque para destrabar la aprobación del diseño arquitectónico.
•Agotamiento de vía conciliatoria con la entidad constructora. </t>
    </r>
  </si>
  <si>
    <t>109-2023-UCEE Y CONTRATO MODIFICATORIO 110-2024-UCEE</t>
  </si>
  <si>
    <t>CONSTRUCTORA MAQUINARIA MATERIALES Y AGREGADOS DEL SUR S.A.</t>
  </si>
  <si>
    <t>7447355-7</t>
  </si>
  <si>
    <t>CONSTRUCCION EDIFICIO DELEGACION DEPARTAMENTAL DE SEGEPLAN, ZONA 6, QUETZALTENANGO, QUETZALTENANGO</t>
  </si>
  <si>
    <t>• PLAZO CONTRACTUAL VENCIDO
• CONTINUACIÓN DE EJECUCIÓN BAJO MULTA POR RETRASO EN LA ENTREGA DE LA OBRA POR PARTE DE LA ENTIDAD CONSTRUCTORA DE ACUERDO A CONCILIACIÓN REALIZADA. 
• CONSTRUCTORA SE COMPROMETIÓ A REGULARIZAR AVANCE FÍSICO Y FINANCIERO DEL PROYECTO Y A FINALIZAR LA OBRA.</t>
  </si>
  <si>
    <r>
      <rPr>
        <u/>
        <sz val="14"/>
        <color rgb="FF000000"/>
        <rFont val="Aptos Narrow"/>
        <scheme val="minor"/>
      </rPr>
      <t xml:space="preserve">Evaluación Técnica y Verificación en Campo
</t>
    </r>
    <r>
      <rPr>
        <sz val="14"/>
        <color rgb="FF000000"/>
        <rFont val="Aptos Narrow"/>
        <scheme val="minor"/>
      </rPr>
      <t xml:space="preserve">•Control de Avance Físico vs. Financiero: El supervisor determinó que el proyecto tiene un avance físico y financiero de 37.23%. Identificó que en la Estimación No. 1 la empresa cobró renglones (losas, columnas, vigas) que no estaban totalmente finalizados en obra. Por lo tanto, estableció que los trabajos que se realizan actualmente no generarán un nuevo porcentaje de avance físico hasta que se complete la ejecución de todo lo que ya fue pagado.
•Inspección Constructiva: Realizó una visita de supervisión el 26 de febrero de 2026. En ella, revisó físicamente los perfiles de las vigas principales y secundarias de metal en el primer y segundo nivel, y verificó el proceso de ensabietado en el muro perimetral y la garita.
</t>
    </r>
    <r>
      <rPr>
        <u/>
        <sz val="14"/>
        <color rgb="FF000000"/>
        <rFont val="Aptos Narrow"/>
        <scheme val="minor"/>
      </rPr>
      <t xml:space="preserve">Gestión Contractual y Administrativa
</t>
    </r>
    <r>
      <rPr>
        <sz val="14"/>
        <color rgb="FF000000"/>
        <rFont val="Aptos Narrow"/>
        <scheme val="minor"/>
      </rPr>
      <t xml:space="preserve">•Aplicación y Cómputo de Sanciones: Registró que el plazo contractual venció el 8 de octubre de 2025, al no obtenerse una prórroga de tiempo legal. Como acción de control, documentó que a la fecha de su visita la empresa llevaba 142 días ejecutando la obra bajo multa.
•Control de Modificaciones y Suspensiones: Llevó el registro histórico de una suspensión prolongada (del 7 de febrero de 2024 al 26 de septiembre de 2025) por falta de Constancia de Disponibilidad Presupuestaria (CDP), así como la ejecución del Documento de Cambio No. 1.
</t>
    </r>
    <r>
      <rPr>
        <u/>
        <sz val="14"/>
        <color rgb="FF000000"/>
        <rFont val="Aptos Narrow"/>
        <scheme val="minor"/>
      </rPr>
      <t xml:space="preserve">Resolución de Conflictos y Acuerdos
</t>
    </r>
    <r>
      <rPr>
        <sz val="14"/>
        <color rgb="FF000000"/>
        <rFont val="Aptos Narrow"/>
        <scheme val="minor"/>
      </rPr>
      <t>•Formalización de Acta de Conciliación: Gestionó el faccionamiento del Acta de Conciliación 3-2025 con la empresa constructora. Mediante este documento oficial, se dejó establecido que la obra continuaría bajo multa al haberse agotado el tiempo del contrato, comprometiendo la constructora a finalizar en mes de marzo de 2026.
•Compromiso Oficial de Entrega: Logró establecer un acuerdo formal donde la constructora se compromete a entregar el proyecto finalizado durante la segunda semana de marzo de 2026 (con fecha objetivo del 11 de marzo).</t>
    </r>
  </si>
  <si>
    <t>268-2023-UCEE</t>
  </si>
  <si>
    <t>8/10/2025 (SE HACE LA ACLARACIÓN QUE EL PROYECTO SE ENCUENTRA EN EJECUCIÓN, POR LO ESTABLECIDO EN EL ESTATUS)</t>
  </si>
  <si>
    <t xml:space="preserve">SOLUCIONES AVANZADAS PARA NEGOCIOS, PROYECTOS, ASESORÍAS Y SERVICIOS AMBIENTALES, S.A. </t>
  </si>
  <si>
    <t>CONSTRUCCIÓN EDIFICIO DE LA DELEGACIÓN SUBDEPARTAMENTAL DE IXCÁN, QUICHE</t>
  </si>
  <si>
    <t>IXCÁN</t>
  </si>
  <si>
    <t>QUICHE</t>
  </si>
  <si>
    <t>RECEPCIONADA, PENDIENTE DE RESOLVER TEMA DE LIQUIDACIÓN DEL PROYECTO</t>
  </si>
  <si>
    <t>•Descubrió irregularidades severas en los registros oficiales: encontró un acta de recepción (Acta No. 3-2022) con la fecha escrita a lápiz ("17 de octubre de dos mil veintidós") y constató que el libro carece del acta de liquidación.
•Detectó una alteración documental crítica al verificar que el acta de recepción física en el expediente difiere totalmente del acta que fue subida al portal de Guatecompras.
•Ante esta situación, escaló el caso solicitando la intervención directa de la Asesoría Jurídica de la UCEE.
•Documentó que el 4 de julio de 2025, Asesoría Jurídica dictaminó que se procederá con la interposición de las denuncias legales correspondientes contra los responsables debido a estas discrepancias y alteraciones.</t>
  </si>
  <si>
    <t>110-2020-UCEE</t>
  </si>
  <si>
    <t>EMCO GUATEMALA CONSTRUCTORA</t>
  </si>
  <si>
    <t>6162430-6</t>
  </si>
  <si>
    <t>MEJORAMIENTO ESCUELA PRIMARIA EOUM TIPO FEDERACIÓN TECUN UMÁN, SANTA CRUZ DEL QUICHE, QUICHE.</t>
  </si>
  <si>
    <t xml:space="preserve"> SANTA CRUZ DEL QUICHE</t>
  </si>
  <si>
    <t xml:space="preserve">•  Auditoría Post-Recepción: Tras recibir quejas del claustro de maestros en 2025, inspeccionó la obra y detectó que, a pesar de existir actas de recepción y liquidación del 2023, la empresa no finalizó los trabajos, dejando renglones sin ejecutar y un avance físico real del 67% (pese a que se pagó un 96.36%).
•  Aplicación de Medidas de Apremio: Citó a la constructora, la cual se comprometió en acta a subsanar los faltantes (como ventanería, instalaciones eléctricas sanitarias y adoquinados), pero finalmente incumplió.
•  Recomendación de Ejecución de Fianzas: Al persistir el incumplimiento, trasladó el expediente al área jurídica para accionar contra la empresa utilizando la fianza de cumplimiento vigente.
Agotamiento de vía conciliatoria y traslado de expediente por incumplimiento de la entidad constructora. </t>
  </si>
  <si>
    <t>ARQ. BENJAMÍN PIRIR</t>
  </si>
  <si>
    <t>95-2022-UCEE</t>
  </si>
  <si>
    <t>CONSTRUCTORA KADE, SOCIEDAD ANÓNIMA</t>
  </si>
  <si>
    <t>3918243-6</t>
  </si>
  <si>
    <t>MEJORAMIENTO ESCUELA PRIMARIA EOUM TIPO FEDERACIÓN RUBÉN VILLAGRÁN PAÚL, RETALHULEU, RETALHULEU</t>
  </si>
  <si>
    <t>RETALHULEU</t>
  </si>
  <si>
    <t>100% (94.88%)</t>
  </si>
  <si>
    <t xml:space="preserve">RECEPCIONADA, EN PROCESO DE LIQUIDACIÓN/ EN ANÁLISIS JURÍDICO POR TEMAS DE CONSERVACIÓN DE OBRA EN EL PROYECTO. </t>
  </si>
  <si>
    <r>
      <rPr>
        <u/>
        <sz val="14"/>
        <color rgb="FF000000"/>
        <rFont val="Aptos Narrow"/>
        <scheme val="minor"/>
      </rPr>
      <t xml:space="preserve">Gestión Administrativa y Recepción de Obra
</t>
    </r>
    <r>
      <rPr>
        <sz val="14"/>
        <color rgb="FF000000"/>
        <rFont val="Aptos Narrow"/>
        <scheme val="minor"/>
      </rPr>
      <t xml:space="preserve">•Acompañamiento a la Comisión Receptora: Participó en las visitas de recepción a finales de julio de 2025, donde inicialmente no se recibió la obra debido a reparos. Tras notificar a la empresa y verificar las correcciones, suscribió el acta de recepción definitiva el 8 de agosto de 2025.
•Salvedad de Responsabilidad: Dejó constancia oficial de que, al haber sido nombrado posterior a la ejecución, desconoce si las prácticas constructivas y los diseños de mezclas (mortero y pintura) utilizados por el contratista fueron los adecuados o cumplieron con las especificaciones técnicas.
</t>
    </r>
    <r>
      <rPr>
        <u/>
        <sz val="14"/>
        <color rgb="FF000000"/>
        <rFont val="Aptos Narrow"/>
        <scheme val="minor"/>
      </rPr>
      <t xml:space="preserve">Auditoría Técnica y Evaluación de Daños (Post-Recepción)
</t>
    </r>
    <r>
      <rPr>
        <sz val="14"/>
        <color rgb="FF000000"/>
        <rFont val="Aptos Narrow"/>
        <scheme val="minor"/>
      </rPr>
      <t xml:space="preserve">•Atención a Denuncia del MINEDUC: Tras recibir un reporte de deficiencias por parte del Ministerio de Educación en noviembre de 2025, programó y ejecutó una inspección física el 14 de enero de 2026 para evaluar el comportamiento de la obra tras la temporada de lluvias.
•Detección de Vicios Ocultos y Defectos Constructivos:
* Problemas de Humedad y Techos: Detectó que el "mezclón" de la losa se instaló con un espesor deficiente (apenas 1 cm en algunas áreas) y sin adherencia ("bofo"). Esto provocó grietas, infiltración de agua y humedad en los muros. Además, el mezclón quedó más alto que los sillares de las ventanas, provocando que el agua pluvial ingrese a las aulas.
* Desprendimiento de Acabados: Constató que el alisado y la pintura base cal se están desprendiendo y craquelando, concluyendo que la empresa no preparó adecuadamente las superficies antes de la aplicación.
* Fallas Estructurales en Exteriores: Reportó el colapso (volteo) de una jardinera exterior, evidenciando que la empresa constructora omitió colocarle el refuerzo de acero necesario para soportar el empuje del suelo.
* Herrería Deficiente: Verificó que a las ventanas metálicas no se les instalaron los sujetadores necesarios para mantenerlas abiertas.
</t>
    </r>
    <r>
      <rPr>
        <u/>
        <sz val="14"/>
        <color rgb="FF000000"/>
        <rFont val="Aptos Narrow"/>
        <scheme val="minor"/>
      </rPr>
      <t xml:space="preserve">Seguimiento Legal y Ejecución de Garantías
</t>
    </r>
    <r>
      <rPr>
        <sz val="14"/>
        <color rgb="FF000000"/>
        <rFont val="Aptos Narrow"/>
        <scheme val="minor"/>
      </rPr>
      <t xml:space="preserve">•Escalamiento a Asesoría Jurídica: Ante la gravedad de los daños en una obra recién entregada, trasladó el informe técnico detallado (con fotografías) al departamento de Asesoría Jurídica el 23 de enero de 2026 para establecer la ruta de acción.
•Directriz de Apremio: Con base en el dictamen legal emitido el 28 de enero de 2026, estableció la directriz de citar al contratista a una reunión conciliatoria. 
</t>
    </r>
  </si>
  <si>
    <t>194-2022-UCEE</t>
  </si>
  <si>
    <t>CONSTRUCTORA VASQUEZ Y VALENZUELA</t>
  </si>
  <si>
    <t>6339464-2</t>
  </si>
  <si>
    <t>CONSTRUCCION EDIFICIO APOSTADERO NAVAL EL PESCADOR, ALDEA LAS MORENAS, RETALHULEU, RETALHULEU</t>
  </si>
  <si>
    <t xml:space="preserve">CONSTRUCTORA HIZO ENTREGA DE CARTA DE FINALIZACIÓN / SUPERVISOR REALIZÓ CORRECCIONES DERIVADO A SUPERVISIÓN FINAL </t>
  </si>
  <si>
    <r>
      <rPr>
        <u/>
        <sz val="15"/>
        <color rgb="FF000000"/>
        <rFont val="Aptos Narrow"/>
        <scheme val="minor"/>
      </rPr>
      <t xml:space="preserve">Evaluación Técnica y Control de Calidad Post-Ejecución
</t>
    </r>
    <r>
      <rPr>
        <sz val="15"/>
        <color rgb="FF000000"/>
        <rFont val="Aptos Narrow"/>
        <scheme val="minor"/>
      </rPr>
      <t xml:space="preserve">•Identificación de Daños Ambientales: Tras recibir la carta de finalización en noviembre de 2025, el supervisor realizó inspecciones a mediados de diciembre y confirmó el 100% de ejecución física. Sin embargo, detectó que los elementos metálicos presentaban manchas, rayones y óxido debido al "salitre" del lugar y al tiempo que la obra estuvo suspendida.
•Emisión de Directrices de Reparación: Ordenó a la empresa constructora (L&amp;S Construcciones, S.A.) que lijara todos los elementos de metal afectados y aplicara una nueva película de pintura para garantizar la calidad de la entrega.
•Revisión Documental: Ejecutó la revisión de los planos finales del proyecto en formato digital.
</t>
    </r>
    <r>
      <rPr>
        <u/>
        <sz val="15"/>
        <color rgb="FF000000"/>
        <rFont val="Aptos Narrow"/>
        <scheme val="minor"/>
      </rPr>
      <t xml:space="preserve">Gestión Administrativa y Cierre de Proyecto
</t>
    </r>
    <r>
      <rPr>
        <sz val="15"/>
        <color rgb="FF000000"/>
        <rFont val="Aptos Narrow"/>
        <scheme val="minor"/>
      </rPr>
      <t>•Apremio para Trámites de Liquidación: Tras aprobar físicamente la obra, estableció el compromiso oficial con el contratista entrega del "informe pormenorizado".</t>
    </r>
  </si>
  <si>
    <t>255-2022-UCEE</t>
  </si>
  <si>
    <t>L&amp;S CONSTRUCCIONES, S.A.</t>
  </si>
  <si>
    <t>6863262-2</t>
  </si>
  <si>
    <t>AMPLIACION ESCUELA PRIMARIA OFICIAL RURAL MIXTA CASERIO XIQUIX, NAHUALA, SOLOLA 07-05-0147-43</t>
  </si>
  <si>
    <t>NAHUALA</t>
  </si>
  <si>
    <t>SOLOLA</t>
  </si>
  <si>
    <r>
      <rPr>
        <b/>
        <sz val="15"/>
        <color rgb="FF0070C0"/>
        <rFont val="Aptos Narrow"/>
        <scheme val="minor"/>
      </rPr>
      <t xml:space="preserve">RESCISIÓN SEGÚN RESOLUCIÓN No. SADS-394-2025 DE FECHA 04 DE JUNIO 2025 / </t>
    </r>
    <r>
      <rPr>
        <b/>
        <sz val="15"/>
        <color rgb="FF000000"/>
        <rFont val="Aptos Narrow"/>
        <scheme val="minor"/>
      </rPr>
      <t>RECEPCIONADA</t>
    </r>
  </si>
  <si>
    <r>
      <rPr>
        <b/>
        <u/>
        <sz val="15"/>
        <color rgb="FF0070C0"/>
        <rFont val="Aptos Narrow"/>
        <scheme val="minor"/>
      </rPr>
      <t xml:space="preserve">Evaluación Técnica y Verificación en Campo
</t>
    </r>
    <r>
      <rPr>
        <b/>
        <sz val="15"/>
        <color rgb="FF0070C0"/>
        <rFont val="Aptos Narrow"/>
        <scheme val="minor"/>
      </rPr>
      <t xml:space="preserve">•Auditoría de Avance y Hallazgos: Determinó que el avance físico se estancó en un 73.29%, mientras que el avance financiero pagado alcanzó el 81.58%. Durante sus verificaciones, detectó la existencia de trabajos cobrados pero no ejecutados, así como renglones que eran necesarios pero que no fueron contratados.
•Reporte de Abandono: Dejó constancia técnica de la mala ejecución física y el abandono total del proyecto, indicando que la empresa retiró a todo su personal operativo y técnico de la obra.
•Acompañamiento Final: El 11 de marzo de 2026, realizó una visita de campo final para acompañar a la comisión receptora y liquidadora, y hacer la entrega oficial de las instalaciones inconclusas al Ministerio de Educación.
</t>
    </r>
    <r>
      <rPr>
        <b/>
        <u/>
        <sz val="15"/>
        <color rgb="FF0070C0"/>
        <rFont val="Aptos Narrow"/>
        <scheme val="minor"/>
      </rPr>
      <t xml:space="preserve">Seguimiento Legal y Ruta de Cierre
</t>
    </r>
    <r>
      <rPr>
        <b/>
        <sz val="15"/>
        <color rgb="FF0070C0"/>
        <rFont val="Aptos Narrow"/>
        <scheme val="minor"/>
      </rPr>
      <t>•Agotamiento de Vía Conciliatoria y Rescisión: Al agotar la vía conciliatoria sin éxito con la empresa constructora, respaldó el proceso de rescisión unilateral del contrato, el cual se oficializó el 4 de junio de 2025 mediante la Resolución No. SADS-394-2025.
•Monitoreo de Recursos Legales: "recurso de reposición" que presentó la constructora para intentar revertir la rescisión. Registró que dicho recurso fue finalmente declarado "sin lugar" (rechazado) mediante la Resolución No. SADS-05-2026.</t>
    </r>
  </si>
  <si>
    <t>287-2022-UCEE</t>
  </si>
  <si>
    <t>MEJORAMIENTO ESCUELA PRIMARIA OFICIAL RURAL MIXTA CANTON SAN JOSE, SAN FRANCISCO ZAPOTITLAN, SUCHITEPEQUEZ</t>
  </si>
  <si>
    <t>SAN FRANCISCO ZAPOTITLAN</t>
  </si>
  <si>
    <t>SUCHITEPEQUEZ</t>
  </si>
  <si>
    <r>
      <rPr>
        <b/>
        <sz val="15"/>
        <color rgb="FF0070C0"/>
        <rFont val="Aptos Narrow"/>
        <scheme val="minor"/>
      </rPr>
      <t xml:space="preserve">RESCISIÓN UNILATERAL SEGÚN RESOLUCIÓN No. SADS-33-2026, DE FECHA 16 DE ENERO DE 2026 / </t>
    </r>
    <r>
      <rPr>
        <b/>
        <sz val="15"/>
        <color rgb="FF000000"/>
        <rFont val="Aptos Narrow"/>
        <scheme val="minor"/>
      </rPr>
      <t>RECEPCIONADA</t>
    </r>
  </si>
  <si>
    <t>•Durante el 4 y 5 de marzo, guio a la comisión de recepción en una inspección minuciosa de los tres edificios que conforman el proyecto. Verificó la correcta separación de las juntas sísmicas, la estructura de techo curvo (vigas y columnas tipo joist), y el funcionamiento íntegro de la red eléctrica, luminarias y tomacorrientes.
•Revisión de Obra Exterior e Instalaciones Especiales: Cuantificó y validó las instalaciones exteriores, incluyendo la cancha polideportiva, el muro perimetral con razor ribbon, el transformador eléctrico, y una planta de tratamiento de aguas ubicada debajo del parqueo.
•Concluyó técnicamente que la estructura se encuentra en buen estado y se comporta sísmicamente como fue diseñada (presentando únicamente fisuras normales en juntas de construcción que no representan riesgo), declarando el edificio apto para albergar a los estudiantes.
Auditoría de Calidad y Control de Deducciones
•Detección de Faltantes y Deterioro: Identificó que varios rótulos de evacuación estaban extraviados. Asimismo, detectó pequeñas grietas en acabados de muros y desprendimiento de pintura tipo blanqueado debido al paso del tiempo.
•Aplicación de Deducciones Financieras: Documentó técnicamente estas deficiencias y faltantes para que la comisión receptora y liquidadora las tome en cuenta y deduzca los costos correspondientes del saldo pendiente (Q. 637,311.99) durante el proceso de liquidación.
Gestión Contractual y Administrativa
•Documentación de Incumplimiento: Llevó el historial de actas conciliatorias donde la empresa se comprometió a entregar el "informe pormenorizado" y nunca cumplió, lo cual fundamentó el inicio del proceso de rescisión del contrato.
•Atención a Entes Fiscalizadores: Atendió la visita del departamento de denuncias de la Contraloría General de Cuentas (CGC) el 30 de enero de 2026, lo que agilizó la presión sobre el contratista respecto a las fianzas (endosos) y la necesidad de entregar la escuela al MINEDUC.
•Entrega Oficial: A pesar de los obstáculos del contratista, logró concretar la entrega oficial de las instalaciones al Ministerio de Educación el 5 de marzo de 2026, dejando el proyecto a la espera de la firma del acta de liquidación.</t>
  </si>
  <si>
    <t>101-2023-UCEE</t>
  </si>
  <si>
    <t>SM INGENIERIA &amp; CONSULTORIA DE GUATEMALA</t>
  </si>
  <si>
    <t>7735770-1</t>
  </si>
  <si>
    <t>MEJORAMIENTO ESCUELA PRIMARIA OFICIAL URBANA DE NIÑAS MARIA CHINCHILLA 4A. CALLE 4-31 ZONA 2, RIO BRAVO, SUCHITEPEQUEZ</t>
  </si>
  <si>
    <t>RIO BRAVO</t>
  </si>
  <si>
    <t>RESCISIÓN SEGÚN RESOLUCIÓN No. SADS-196-2025 DE FECHA 13 DE MAYO 2025 / RECEPCIONADA y ACTA DE LIQUIDACIÓN</t>
  </si>
  <si>
    <r>
      <rPr>
        <b/>
        <u/>
        <sz val="14"/>
        <color rgb="FF0070C0"/>
        <rFont val="Aptos Narrow"/>
        <scheme val="minor"/>
      </rPr>
      <t xml:space="preserve">Evaluación Técnica y Verificación de Incumplimientos
</t>
    </r>
    <r>
      <rPr>
        <b/>
        <sz val="14"/>
        <color rgb="FF0070C0"/>
        <rFont val="Aptos Narrow"/>
        <scheme val="minor"/>
      </rPr>
      <t xml:space="preserve">•Inspecciones de Calidad y Avance: A través de múltiples visitas de supervisión (noviembre 2024 a marzo 2025), el supervisor documentó la ejecución de trabajos de mala calidad, renglones que no cumplían las especificaciones técnicas, renglones faltantes y trabajos ejecutados sin estar estipulados en el contrato original.
•El 10 de marzo de 2025, coordinó y participó en una visita conjunta con una autoridad legislativa, en la cual se comprobó el incumplimiento técnico y el abandono de la obra.
•Apoyó a la comisión receptora y liquidadora (10 y 11 de noviembre de 2025) en el recorrido de evaluación final. En esta inspección, se aplicaron decrementos por renglones deteriorados y mal ejecutados, fijando el avance físico real y definitivo en apenas un 31.40% (frente a un 28.75% financiero pagado).
</t>
    </r>
    <r>
      <rPr>
        <b/>
        <u/>
        <sz val="14"/>
        <color rgb="FF0070C0"/>
        <rFont val="Aptos Narrow"/>
        <scheme val="minor"/>
      </rPr>
      <t xml:space="preserve">Gestión Contractual y Agotamiento de la Conciliación
</t>
    </r>
    <r>
      <rPr>
        <b/>
        <sz val="14"/>
        <color rgb="FF0070C0"/>
        <rFont val="Aptos Narrow"/>
        <scheme val="minor"/>
      </rPr>
      <t>•Intento de Rescisión por Mutuo Acuerdo: Al evidenciar el atraso tras el vencimiento del plazo en noviembre de 2023, el supervisor gestionó inicialmente la suscripción de un Acta Conciliatoria (1-2024) el 11 de noviembre de 2024. En este documento se acordó rescindir por mutuo acuerdo, bajo la condición estricta de que la empresa utilizara el material ya en obra para dejar los módulos funcionales para el ciclo escolar 2025.
•Otorgó plazos adicionales (un mes extra a finales de 2024) para que la empresa cumpliera lo pactado, evidenciando en visitas posteriores que las correcciones fueron ignoradas y los módulos nunca quedaron funcionales.
•Rescisión Unilateral: Al comprobar el engaño e incumplimiento de los acuerdos conciliatorios, trasladó el expediente al Departamento Jurídico. Esta acción fundamentó la emisión de la Resolución No. SADS-196-2025 (13 de mayo de 2025), la cual dio por terminado y rescindido el contrato de manera unilateral.
•Monitoreo de Litigio: Llevó el registro de que la constructora intentó revertir la decisión mediante un recurso de reposición, el cual fue declarado "sin lugar" (rechazado) el 7 de agosto de 2025 mediante la Resolución SADS-728-2025.</t>
    </r>
  </si>
  <si>
    <t>114-2023-UCEE</t>
  </si>
  <si>
    <t>AVALON, S.A.</t>
  </si>
  <si>
    <t>7878285-6</t>
  </si>
  <si>
    <t>MEJORAMIENTO CENTRO DE SALUD DE SAN CRISTOBAL TOTONICAPAN, TOTONICAPAN</t>
  </si>
  <si>
    <t>SAN CRISTOBAL</t>
  </si>
  <si>
    <t>TOTONICAPAN</t>
  </si>
  <si>
    <r>
      <rPr>
        <sz val="15"/>
        <color rgb="FF000000"/>
        <rFont val="Aptos Narrow"/>
        <scheme val="minor"/>
      </rPr>
      <t xml:space="preserve">•Auditoría de Diseño y Calidad: El supervisor detectó y documentó que la planificación original del proyecto era deficiente, presentando dimensiones muy pequeñas y refuerzos estructurales débiles.
•Control de Trabajos Correctivos: Supervisó la ejecución de medidas correctivas en campo. Constató mediante registro fotográfico que actualmente se están cortando columnas existentes para engrosar la estructura y realizando trabajos de instalaciones hidrosanitarias. Advirtió que, al concentrarse en los refuerzos estructurales, la constructora está descuidando la ejecución de otros renglones pendientes.
•Alerta de Incumplimiento de Cronograma: Tras su visita más reciente (10 de marzo de 2026), dictaminó técnicamente que el avance en obra no refleja el ritmo del cronograma propuesto por la empresa, alertando que esto dificultará cumplir con la nueva fecha de entrega estipulada.
</t>
    </r>
    <r>
      <rPr>
        <u/>
        <sz val="15"/>
        <color rgb="FF000000"/>
        <rFont val="Aptos Narrow"/>
        <scheme val="minor"/>
      </rPr>
      <t xml:space="preserve">Gestión Contractual y Medidas de Apremio
</t>
    </r>
    <r>
      <rPr>
        <sz val="15"/>
        <color rgb="FF000000"/>
        <rFont val="Aptos Narrow"/>
        <scheme val="minor"/>
      </rPr>
      <t>•Manejo de la Vía Conciliatoria: Ante el vencimiento del plazo contractual (el 10 de septiembre de 2025), gestionó la suscripción de un acta de conciliación. En dicho documento, obligó a la constructora a comprometerse a entregar la obra el 31 de marzo de 2026, con la condición de laborar bajo multa por retraso.
•Exigencia de Aceleración: Estableció como directriz obligatoria convocar a una reunión de trabajo con la constructora para exigirle la contratación inmediata de más personal de obra, buscando mitigar el atraso y ejecutar los renglones pendientes.
•Alerta Financiera Interinstitucional: Analizó la situación presupuestaria e identificó un riesgo en el financiamiento. Dejó asentada la necesidad administrativa y legal de revisar o modificar el convenio con el Ministerio de Salud (MSPAS), con el fin de garantizar que dicha cartera traslade a la UCEE los fondos pendientes necesarios para terminar el proyecto.</t>
    </r>
  </si>
  <si>
    <t>286-2022-UCEE Y CONTRATO MODIFICATORIO 286-2022-UCEE-MOD-1-2025</t>
  </si>
  <si>
    <t>10/09/2025 (SE HACE LA ACLARACIÓN QUE EL PROYECTO SE ENCUENTRA EN EJECUCIÓN, POR LO ESTABLECIDO EN EL ESTATUS)</t>
  </si>
  <si>
    <t>PRODICA</t>
  </si>
  <si>
    <t>3872384-0</t>
  </si>
  <si>
    <t>CONSTRUCCION ESCUELA DE LA REFORMA (EDR) ALDEA PIEDRAS AZULES, GUALAN, ZACAPA</t>
  </si>
  <si>
    <t>GUALAN</t>
  </si>
  <si>
    <t>ZACAPA</t>
  </si>
  <si>
    <t>SUSPENDIDO / EN VIRTUD DE LAS ACCIONES ADMINISTRATIVAS QUE CORRESPONDAN PARA RESOLVER FALENCIAS DE DISEÑO Y PLANIFICACIÓN QUE AFECTAN LA EJECUCIÓN ACTUAL DEL PROYECTO EN MENCIÓN.</t>
  </si>
  <si>
    <t>Evaluación Técnica y Detección de Deficiencias de Diseño
•Auditoría de Modificaciones Previas: El supervisor identificó que el Documento de Cambio No. 1 fue deficiente, ya que dejó sin resolver el diseño arquitectónico de las circulaciones debido a cambios de nivel y a la separación entre los grandes módulos (A, B y C).
•Exigencia de Rediseño Estructural: Determinó que es obligatorio realizar nuevos cálculos estructurales para las circulaciones que unen los módulos y para las circulaciones verticales. Asimismo, indicó que se deben replantear los techos finales de los segundos niveles en los módulos A y B para no sobrepasar los límites presupuestarios permitidos por la ley.
•Evaluación de Servicios Básicos: Detectó que el abastecimiento de agua municipal no es suficiente para el proyecto, por lo que estableció la necesidad de planificar y ejecutar un pozo mecánico y un tanque elevado. Además, exigió que se realicen estudios técnicos para confirmar si la planta de tratamiento original se dará abasto cuando el edificio esté a su máxima capacidad.
Gestión Administrativa y Ruta Contractual
•Justificación de Suspensión: Avaló y documentó la suspensión temporal de la obra iniciada el 30 de enero de 2026, justificando que la empresa no puede continuar la ejecución hasta que se resuelvan las carencias de diseño y planificación.
•Promoción de Documento de Cambio No. 2: Definió que el siguiente paso administrativo indispensable es la creación de un Documento de Cambio No. 2. Este documento servirá para regularizar los rediseños arquitectónicos y estructurales, incluir el ingreso principal, incorporar el pozo mecánico y reajustar el presupuesto general.
•Requerimiento de Asesores Especializados: Recomendó formalmente que el proyecto cuente con asesoría profesional externa para llevar a cabo los estudios específicos de la planta de tratamiento y el pozo mecánico.</t>
  </si>
  <si>
    <t>ARQ. JORGE RAMIREZ</t>
  </si>
  <si>
    <t>298-2023-UCEE</t>
  </si>
  <si>
    <t>CONSTRUCTORA CONGUSA</t>
  </si>
  <si>
    <t>514854-5</t>
  </si>
  <si>
    <t>CONSTRUCCIÓN CENTRO DE ATENCIÓN PERMANENTE (CAP) SEGUNDO CANTÓN SAN RAFAEL, SAN PEDRO YEPOCAPA, CHIMALTENANGO</t>
  </si>
  <si>
    <t>SAN PEDRO YEPOCAPA</t>
  </si>
  <si>
    <t>CHIMALTENANGO</t>
  </si>
  <si>
    <t>Adjudicación y Contratación: El proyecto fue adjudicado a la empresa INVERPLUS, S.A. el 14 de noviembre de 2024, bajo el contrato 011-2024-UCEE/DJ.Gestión de Cambios: Se aprobó el Documento de Cambio No. 1 (Resolución 0.1-422-2025 FP/Is) el 17 de octubre de 2025. Este ajuste modificó el monto contractual de Q 15,930,500.00 a Q 17,375,494.00, representando un incremento del 9.07%.Estimaciones de Pago: Se han completado cuatro estimaciones de trabajo entre diciembre de 2024 y diciembre de 2025, sumando un total pagado de Q 12,986,630.77.Supervisión: Las visitas de campo han permitido identificar solicitudes de cambio por parte de la DDRISS de Chimaltenango, las cuales han sido acopladas para facilitar la futura entrega del inmueble.</t>
  </si>
  <si>
    <t>011-2024-UCEE/DJ</t>
  </si>
  <si>
    <t>INVERPLUS, S.A.</t>
  </si>
  <si>
    <t>3458246-0</t>
  </si>
  <si>
    <t>CONSTRUCCIÓN INSTITUTO BÁSICO PLAN ESPECÍFICO (DESARRAIGADOS) E INSTITUTO DIVERSIFICADO, MICROPARCELAMIENTO EL NARANJO, SANTA LUCÍA COTZUMALGUAPA, ESCUINTLA</t>
  </si>
  <si>
    <t>SANTA LUCIA COTZUMALGUAPA</t>
  </si>
  <si>
    <t xml:space="preserve">SUSPENDIDO / LA EMPRESA YA ENTREGÓ DOCUMENTOS DE CAMBIO, YA FUERON REVISADOS Y FUERON DEVUELTOS A LA ENTIDAD CONSTRUCTORA PARA HACER LAS CORRECCIONES. </t>
  </si>
  <si>
    <t>Visita con el especialista en geología para determinar posibles soluciones al nivel del manto freático (se recomendó realizar un nuevo estudio de suelos) (17 de septiembre).
Se suspenden los trabajos a partir del 10 de octubre debido a que no se logró mitigar la condición hallada en el lugar. (Nota: Agregué "los trabajos" para que quede claro qué es exactamente lo que se suspende).
Se solicita a la empresa realizar un nuevo estudio de suelos y un diseño para la nueva cimentación. (Nota: Se eliminó la preposición "de" antes de "realizar", ya que era incorrecta en ese contexto).
La empresa realizó los estudios de suelos e identificó estratos propensos a licuefacción, por lo que recomendó una sustitución del suelo. (Nota: Se cambiaron los gerundios "identificando" y "recomendando" para darle una lectura más formal y fluida).
La empresa ingresó el Documento de Cambio No. 1, en el cual se realizan los cambios de la cimentación. Paralelamente**,** se identificó que la planificación (renglones y cantidades contratadas) no refleja lo indicado en los planos.
Se solicitó apoyo al Departamento de Planificación para corroborar las cantidades y renglones, con el fin de evitar en lo más posible realizar cambios a futuro en el proyecto.</t>
  </si>
  <si>
    <t>20-2025-UCEE/AJ</t>
  </si>
  <si>
    <t>CONSTRUCCIÓN INSTITUTO BÁSICO, 1 AVE. ENTRE 4TA. Y 5TA. CALLE, ZONA 1, CATARINA, SAN MARCOS</t>
  </si>
  <si>
    <t>CATARINA</t>
  </si>
  <si>
    <t>SAN MARCOS</t>
  </si>
  <si>
    <t xml:space="preserve">Rehabilitación de la bitácora electrónica por cambio de supervisor de campo de la empresa.
Visitas de supervisión (la última para verificar los avances de obra reportados en la documentación presentada para la estimación No. 1).
Elaboración de bitácora electrónica.
Actualización del informe circunstanciado.
Visita semana del 2 al 6 de marzo de 2026 / avance el cimentación, zapatas, cimento corrido, vigas de amarre y emplantilladlo de block. </t>
  </si>
  <si>
    <t>ARQ. CHRISTIAN CHÁVEZ</t>
  </si>
  <si>
    <t>024-2025-UCEE/AJ</t>
  </si>
  <si>
    <t>CONSTRUVIAS</t>
  </si>
  <si>
    <t>1952693-8</t>
  </si>
  <si>
    <t>REMOZAMIENTO</t>
  </si>
  <si>
    <t>REMOZAMIENTO CENTRO DE ATENCIÓN PERMANENTE UBICADO EN CASCO URBANO TELEMAN, ALTA VERAPAZ</t>
  </si>
  <si>
    <t>PANZOS</t>
  </si>
  <si>
    <t>100% (99.65%)</t>
  </si>
  <si>
    <t xml:space="preserve">RECEPCIONADA, EN TRAMITES DE LIQUIDACIÓN / EN ANÁLISIS JURÍDICO EN VIRTUD QUE EMPRESA NO HACE ENTREGA DE EXPEDIENTE DE PAGO DE LIQUIDACIÓN.  </t>
  </si>
  <si>
    <t>Se realizaron visitas junto a la junta receptora y liquidadora, donde se exigieron correcciones de renglones deteriorados (como bombillas, ventanas, etc.).Se recepcionaron los proyectos el 09 y 10 de septiembre.Se ha solicitado reiteradamente a la empresa la entrega del expediente de liquidación final, sin obtener respuesta.Se solicitó apoyo al Departamento Jurídico el 22 de enero de 2026 para tomar acciones y continuar con el trámite.</t>
  </si>
  <si>
    <t>GRUPO 06</t>
  </si>
  <si>
    <t>277-2022-UCEE</t>
  </si>
  <si>
    <t>H3 GUATEMALA, SOCIEDAD ANONIMA</t>
  </si>
  <si>
    <t>3818733-7</t>
  </si>
  <si>
    <t>REMOZAMIENTO CENTRO DE ATENCIÓN PERMANENTE UBICADO EN ALDEA SENAHÚ, SENAHÚ, ALTA VERAPAZ</t>
  </si>
  <si>
    <t>SENAHÚ</t>
  </si>
  <si>
    <t>100% (99.16%)</t>
  </si>
  <si>
    <t>REMOZAMIENTO EORM,  CASERIO EL ALFILER, ALDEA AQUIL, SAN CRISTOBAL VERAPAZ, ALTA VERAPAZ</t>
  </si>
  <si>
    <t>SAN CRISTOBAL VERAPAZ</t>
  </si>
  <si>
    <r>
      <rPr>
        <b/>
        <sz val="15"/>
        <color rgb="FF0070C0"/>
        <rFont val="Aptos Narrow"/>
        <scheme val="minor"/>
      </rPr>
      <t xml:space="preserve">RESCISIÓN UNILATERAL SEGÚN RESOLUCIÓN No. SADS-585-2025, DE FECHA  25 DE JUNIO DE 2025 / </t>
    </r>
    <r>
      <rPr>
        <b/>
        <sz val="15"/>
        <color rgb="FF000000"/>
        <rFont val="Aptos Narrow"/>
        <scheme val="minor"/>
      </rPr>
      <t>RECEPCIONADA 12-03-2026</t>
    </r>
  </si>
  <si>
    <t>Se realizaron supervisiones y recorridos con la empresa, evidenciando trabajos deficientes, mal ejecutados y renglones cobrados no realizados.
Se solicitó a la empresa presentar un informe de compromiso para terminar los trabajos, el cual no fue entregado.
Se citó a la empresa a una reunión conciliatoria el 16 de enero de 2025, a la cual no se presentó.
El proyecto fue rescindido el 25 de junio de 2025 y se realizó la recepción del mismo el 12 de marzo de 2026.</t>
  </si>
  <si>
    <t>GRUPO 14</t>
  </si>
  <si>
    <t>276-2022-UCEE</t>
  </si>
  <si>
    <t>COINMA</t>
  </si>
  <si>
    <t>9393696-6</t>
  </si>
  <si>
    <t xml:space="preserve"> REMOZAMIENTO EORM CASERIO SANTO DOMINGO SESUJQUIM, CASERIO SANTO DOMINGO SESUJQUIM, SAN JUAN CHAMELCO, ALTA VERAPAZ</t>
  </si>
  <si>
    <t>SAN JUAN CHAMELCO</t>
  </si>
  <si>
    <t>RESCISIÓN SEGÚN RESOLUCIÓN No. SADS-471-2025 DE FECHA 10 DE JUNIO 2025</t>
  </si>
  <si>
    <t>En supervisiones se determinó que la EORM Sesujquim no fue intervenida, mientras que la EORM Cactzimaaj presentaba deficiencias y trabajos cobrados no realizados.Se requirió a la constructora corregir y decrementar trabajos en reuniones sostenidas.La empresa no asistió a la citación conciliatoria el 16 de enero de 2025.Se emitió la resolución de rescisión de contrato el 10 de junio de 2025.</t>
  </si>
  <si>
    <t>GRUPO 15</t>
  </si>
  <si>
    <t>278-2022-UCEE</t>
  </si>
  <si>
    <t>REMOZAMIENTO EORM CASERÍO CACTZIMAAJ, CASERIO CACTZIMAAJ, SAN JUAN CHAMELCO, ALTA VERAPAZ.</t>
  </si>
  <si>
    <t>REMOZAMIENTO EODP, BARRIO SANTO TOMAS 4A.AVE. 11-47 ZONA 1, COBAN, ALTA VERAPAZ.</t>
  </si>
  <si>
    <t>RESCISIÓN SEGÚN RESOLUCIÓN No. SADS-470-2025 DE FECHA 10 DE JUNIO 2025</t>
  </si>
  <si>
    <t>Se realizaron visitas de campo donde se identificaron deficiencias en renglones que ya habían sido pagados al 100%.Se notificó a la empresa y se sostuvieron reuniones para exigir correcciones o decrementos en los cobros.Se citó a la empresa a una reunión conciliatoria el 15 de enero de 2025, a la cual no asistió.Se solicitó continuar con el trámite legal respectivo debido al incumplimiento.</t>
  </si>
  <si>
    <t>GRUPO 01</t>
  </si>
  <si>
    <t>138-2023-UCEE</t>
  </si>
  <si>
    <t>EMPRESA, X.W.</t>
  </si>
  <si>
    <t>838933-0</t>
  </si>
  <si>
    <t>REMOZAMIENTO ESCUELA NORMAL DE EDUCACION FISICA, CALZADA RABIN AJAU ZONA 11, COBAN, ALTA VERAPAZ.</t>
  </si>
  <si>
    <t>REMOZAMIENTO EORM COMUNIDAD POZO SECO, COMUNIDAD POZO SECO, CHISEC, ALTA VERAPAZ.</t>
  </si>
  <si>
    <t>CHISEC</t>
  </si>
  <si>
    <t>RESCISIÓN UNILATERAL SEGÚN RESOLUCIÓN No. SADS-587-2025, DE FECHA 25 DE JUNIO DE 2025</t>
  </si>
  <si>
    <t>El 15 de enero de 2025 se levantó el Acta Administrativa 001-2025 para dar por agotada la vía administrativa y conciliatoria.
El expediente fue trasladado al departamento de Asesoría Jurídica para que se emita una opinión sobre la rescisión del contrato.
El 29 de enero de 2025 se realizó una visita de supervisión con la Contraloría General de Cuentas para verificar los trabajos.</t>
  </si>
  <si>
    <t>GRUPO 02</t>
  </si>
  <si>
    <t>139-2023-UCEE</t>
  </si>
  <si>
    <t>REMOZAMIENTO EORM, ALDEA EL PACAYAL, MORAZAN, EL PROGRESO</t>
  </si>
  <si>
    <t>MORAZAN</t>
  </si>
  <si>
    <t>RECEPCIONADA 13-03-2026, EN PROCESO DE LIQUIDACIÓN</t>
  </si>
  <si>
    <t>Control de Finalización: Supervisó la ejecución total de los trabajos en cuatro centros educativos (Plan de Barro, El Pacayal, Gallegos y Sunzapote), asegurando el cumplimiento del 100% de los renglones.Recepción de Obra: Realizó la inspección final y el cierre administrativo para la recepción de los proyectos el 12 de marzo de 2026.Verificación de Calidad: Validó la correcta instalación de techos, acabados en aulas, cocinas, servicios sanitarios y áreas recreativas.</t>
  </si>
  <si>
    <t>GRUPO 04</t>
  </si>
  <si>
    <t>261-2022-UCEE</t>
  </si>
  <si>
    <t>REMOZAMIENTO EORM, CASERIO PLAN DEL BARRO, MORAZAN, EL PROGRESO</t>
  </si>
  <si>
    <t>RECEPCIONADA 12-03-2026, EN PROCESO DE LIQUIDACIÓN</t>
  </si>
  <si>
    <t>REMOZAMIENTO EORM, CASERIO GALLEGOS, MORAZAN, EL PROGRESO</t>
  </si>
  <si>
    <t>REMOZAMIENTO ESCUELA PRIMARIA OFICIAL RURAL MIXTA, ALDEA SUNZAPOTE, MORAZAN, EL PROGRESO</t>
  </si>
  <si>
    <t>Pendiente la recepción de esta Escuela derivado que no se presentó la directora del establecimiento educativo, el cual se coordinó con anterioridad con el director Departamental de El Progreso, se reprogramará la recepción con la Comisión.</t>
  </si>
  <si>
    <t>REMOZAMIENTO EORM, KM. 106 1/2 COLONIA EL JARDIN, SAN JOSE, ESCUINTLA.</t>
  </si>
  <si>
    <t>SAN JOSE</t>
  </si>
  <si>
    <t>RESCISIÓN UNILATERAL SEGÚN RESOLUCIÓN No. SADS-613-2025, DE FECHA 2 DE JULIO DE 2025 / SIN LUGAR RECURSO DE REPOSICIÓN SEGÚN RESOLUCIÓN No. SADS-917-2025, DE FECHA 23 DE OCTUBRE DE 2025</t>
  </si>
  <si>
    <t>Efectuar el seguimiento administrativo y el nombramiento de la comisión receptora y liquidadora del proyecto. Realizar visita técnica en acompañamiento a la Contraloría General de Cuentas para determinar el avance físico. Conformar y trasladar el expediente del proyecto a la Asesoría Jurídica de la UCEE. Brindar acompañamiento en el proyecto a la Contraloría General de Cuentas para auditorías de cumplimiento. Realizar constantes consultas a la Asesoría Jurídica de la UCEE acerca del estatus legal del proyecto y recursos presentados.</t>
  </si>
  <si>
    <t>GRUPO 23</t>
  </si>
  <si>
    <t>140-2023-UCEE CONTRATO MODIFICATORIO 294-2023-UCEE</t>
  </si>
  <si>
    <t>DE LA PEÑA SOCIEDAD ANONIMA</t>
  </si>
  <si>
    <t>9637200-1</t>
  </si>
  <si>
    <t>REMOZAMIENTO EORM, ALDEA BARRITA VIEJA, SAN JOSE, ESCUINTLA.</t>
  </si>
  <si>
    <t>SAN JOSÉ</t>
  </si>
  <si>
    <t>Realizar el nombramiento de la comisión receptora y liquidadora para liquidar este proyecto junto al otro del Grupo 23. Acompañar a la Contraloría General de Cuentas en visita técnica para la determinación de los avances físicos. Preparar y trasladar el expediente con los informes circunstanciados y financieros a la Asesoría Jurídica. Realizar visita técnica y brindar acompañamiento para la auditoría de obra pública de la Contraloría General de Cuentas. Consultar el estatus legal en el que se encuentra la rescisión del contrato a la Asesoría Jurídica.</t>
  </si>
  <si>
    <t>REMOZAMIENTO EOUN, BARRIO SAN MIGUEL SAN JOSE, SAN JOSE, ESCUINTLA.</t>
  </si>
  <si>
    <t>RESCISIÓN UNILATERAL SEGÚN RESOLUCIÓN No. SADS-699-2025, DE FECHA 28 DE JULIO DE 2025 / SIN LUGAR RECURSO DE REPOSICIÓN SEGÚN RESOLUCIÓN No. SADS-928-2025, DE FECHA 27 DE OCTUBRE DE 2025</t>
  </si>
  <si>
    <t>Cálculo de Avances: Determinó un avance físico real del 50.49% y un avance financiero del 84.19% respecto al monto modificado del centro educativo.
Vía Conciliatoria: Participó en el agotamiento de la vía administrativa y conciliatoria el 06/05/2025, donde se hizo constar que la empresa ejecutora asistió pero se negó a firmar el acta.
Traslado de Expediente: Ante los incumplimientos, conformó y trasladó el expediente del proyecto a la Asesoría Jurídica de la UCEE para proceder con la terminación unilateral del contrato.</t>
  </si>
  <si>
    <t>GRUPO 24</t>
  </si>
  <si>
    <t>144-2023-UCEE</t>
  </si>
  <si>
    <t>REMOZAMIENTO EORM, ALDEA CAMPAMENTO LA BARRITA, SAN JOSE, ESCUINTLA.</t>
  </si>
  <si>
    <r>
      <rPr>
        <b/>
        <sz val="15"/>
        <color rgb="FF0070C0"/>
        <rFont val="Aptos Narrow"/>
        <scheme val="minor"/>
      </rPr>
      <t xml:space="preserve">RESCISIÓN UNILATERAL SEGÚN RESOLUCIÓN No. SADS-699-2025, DE FECHA 28 DE JULIO DE 2025 / SIN LUGAR RECURSO DE REPOSICIÓN SEGÚN RESOLUCIÓN No. SADS-928-2025, DE FECHA 27 DE OCTUBRE DE 2025 / </t>
    </r>
    <r>
      <rPr>
        <b/>
        <sz val="15"/>
        <color rgb="FF000000"/>
        <rFont val="Aptos Narrow"/>
        <scheme val="minor"/>
      </rPr>
      <t>RECEPCIONADA 09-03-2026</t>
    </r>
  </si>
  <si>
    <t xml:space="preserve">Cálculo de Avances: Determinó un avance físico real del 50.49% y un avance financiero del 84.19% respecto al monto modificado del centro educativo.
Vía Conciliatoria: Participó en el agotamiento de la vía administrativa y conciliatoria el 06/05/2025, donde se hizo constar que la empresa ejecutora asistió pero se negó a firmar el acta.
Traslado de Expediente: Ante los incumplimientos, conformó y trasladó el expediente del proyecto a la Asesoría Jurídica de la UCEE para proceder con la terminación unilateral del contrato.
Proyecto recepcionado </t>
  </si>
  <si>
    <t>REMOZAMIENTO EODP NO.33 ROSA Y CAROLINA AGAZZI, 16 AVE. 18-71 PROYECTO 4-4, ZONA 6, CIUDAD CAPITAL</t>
  </si>
  <si>
    <t xml:space="preserve">EN TRÁMITES DE FINALIZACIÓN / PENDIENTE ANÁLISIS CON RESPECTO AL MAL CALCULO DE LA MULTA EN LIQUIDACIÓN DEL PROYECTO </t>
  </si>
  <si>
    <t>Inspección de finalización de trabajos: Verificó que el proyecto alcanzó un 100% de ejecución de los renglones de trabajo, aunque con un retraso acumulado de 288 días calendario
Gestión de reparaciones por fianza: Ante el reporte de las directoras de ambos establecimientos sobre deterioro prematuro, el supervisor gestionó que la empresa asumiera las reparaciones necesarias bajo la fianza de conservación.
Verificación de reparaciones: Documentó el ingreso del oficio el 5 de noviembre de 2025, donde la constructora dio por finalizados los trabajos de reparación solicitados.
Registro Fotográfico: Realizó el levantamiento visual de las condiciones finales de la infraestructura en ambos centros educativos para respaldar el estado de la obra.
Detección de errores en multas: Identificó una incongruencia crítica en el expediente de liquidación: la Comisión Receptora anterior calculó la multa basada en días hábiles, cuando técnicamente correspondía hacerlo sobre días calendario, afectando el monto final a favor del contratista.
Revisión del expediente de liquidación: Trasladó el expediente al Departamento Financiero para obtener observaciones técnicas y notificó a la empresa constructora sobre las correcciones requeridas para continuar el proceso.
Consulta a Asesoría Jurídica: Debido a que ya existía una resolución de liquidación previa con errores, el supervisor solicitó a la unidad jurídica definir el procedimiento legal correcto para anularla o corregirla.
Solicitud de nueva Comisión: Siguiendo las instrucciones jurídicas, gestionó ante la Dirección la necesidad de nombrar una nueva Comisión Receptora y Liquidadora que valide el expediente corregido.
Definición de ruta administrativa: Estableció los pasos a seguir con la Dirección para hacer efectivo el pago final de la liquidación una vez que el nuevo expediente sea aprobado.</t>
  </si>
  <si>
    <t>GRUPO 38</t>
  </si>
  <si>
    <t>180-2020-UCEE</t>
  </si>
  <si>
    <t>INVERSIONES LOGÍSTICAS PARA AGUAS, SOCIEDAD ANÓNIMA</t>
  </si>
  <si>
    <t>2810707-1</t>
  </si>
  <si>
    <t>REMOZAMIENTO EODP NO.29 ULISES ROJAS, 21 AVE. 15-07, ZONA 6, CIUDAD CAPITAL</t>
  </si>
  <si>
    <t>REMOZAMIENTO EOUM NO.110 JUANA DE ARCO, 19A. AVENIDA 12-30, COLONIA JUANA DE ARCO, ZONA 18, GUATEMALA, GUATEMALA</t>
  </si>
  <si>
    <t xml:space="preserve">EN PROCESO DE LIQUIDACIÓN / PENDIENTE LIQUIDACIÓN POR PARTE DE COMISIÓN RECEPTORA Y LIQUIDADORA / EL PRESENTE PROYECTO NO ALCANZA LA PONDERACIÓN DEL 100% POR TEMAS DE PLANIFICACIÓN; SE ACTUALIZÓ AVANCE FÍSICO </t>
  </si>
  <si>
    <t>Inspección de renglones: Realizó la verificación física de los trabajos ejecutados que estaban a la vista y accesibles, como la sustitución de cubiertas de techo, puertas, ventanería, cambio de piso e instalaciones eléctricas y sanitarias. Ratificación de cantidades: Llevó a cabo la ratificación de los renglones contratados y ejecutados junto con el contratista en las siguientes fechas:8 y 9 de septiembre de 2025: En la escuela Juana de Arco 10 de septiembre de 2025: En la escuela Alameda III. Determinación de avances reales: Estableció que el monto real ejecutado asciende a Q 5,241,782.26, lo que representa un 86.9077% de avance físico total. Identificación de limitaciones físicas: Determinó que el 100% de ejecución no fue posible debido a la falta de espacio en los lugares del proyecto y al incumplimiento de algunas especificaciones técnicas para ciertos renglones.</t>
  </si>
  <si>
    <t>GRUPO 12</t>
  </si>
  <si>
    <t>126-2023-UCEE</t>
  </si>
  <si>
    <t>ARINSA, SOCIEDAD ANÓNIMA</t>
  </si>
  <si>
    <t>3834794-6</t>
  </si>
  <si>
    <t>REMOZAMIENTO EOUM NO.439 'ALAMEDA III', 25AV. Y 12 CALLE COLONIA PARAISO I, ZONA 18, CIUDAD CAPITAL</t>
  </si>
  <si>
    <t>REMOZAMIENTO EODP NO.64, 34 CALLE Y 11 AVENIDA 'B', ZONA 7, CIUDAD CAPITAL</t>
  </si>
  <si>
    <t>RESCISIÓN UNILATERAL SEGÚN RESOLUCIÓN No. SADS-863-2025, DE FECHA 22 DE SEPTIEMBRE DE 2025</t>
  </si>
  <si>
    <t>Es necesario obtener las actas finales por parte de la comisión receptora y liquidadora para concluir formalmente el expediente de liquidación.</t>
  </si>
  <si>
    <t>130-2023-UCEE</t>
  </si>
  <si>
    <t>EL ISHTOL, S.A.</t>
  </si>
  <si>
    <t>10643428-4</t>
  </si>
  <si>
    <t>REMOZAMIENTO EOUM 'PLAN INTERNACIONAL', 34 CALLE 11-23 COLONIA ALIDA ESPAÑA, ZONA 7, CIUDAD CAPITAL</t>
  </si>
  <si>
    <t>REMOZAMIENTO EOUM NO.903 GRANIZO 'A', 32 AVE. 40-63 COLONIA LOS GRANIZOS, ZONA 7, CIUDAD CAPITAL</t>
  </si>
  <si>
    <t xml:space="preserve">EN PROCESO DE LIQUIDACIÓN / PENDIENTE LIQUIDACIÓN POR PARTE DE COMISIÓN RECEPTORA Y LIQUIDADORA / EL PRESENTE PROYECTO NO ALCANZA LA PONDERACIÓN DEL 100% POR TEMAS DE PLANIFICACIÓN; </t>
  </si>
  <si>
    <t>Inspección de obra: Realizó la verificación física de los trabajos de remozamiento, que incluyeron la sustitución de cubiertas de techo, puertas, ventanería, cambio de pisos, instalaciones eléctricas, sanitarias y polideportivos.
Ratificación de cantidades: Llevó a cabo la verificación y ratificación de los renglones ejecutados junto con el contratista el 11 de septiembre de 2025 en ambos establecimientos.
Determinación de avances reales: Estableció que el monto real ejecutado asciende a Q 4,449,603.21, lo que representa un 89.02% de avance físico total.
Identificación de limitaciones: Determinó que no se alcanzó el 100% de ejecución debido a que ciertos renglones no pudieron realizarse por falta de espacio en los centros educativos o por no cumplir con las especificaciones técnicas.</t>
  </si>
  <si>
    <t>135-2023-UCEE</t>
  </si>
  <si>
    <t>REMOZAMIENTO EOUV NO.24 FRAY BARTOLOME DE LAS CASAS, 2A CALLE B 19-60, ZONA 6, CIUDAD CAPITAL.</t>
  </si>
  <si>
    <t>REMOZAMIENTO EODP ANEXA A EORM 8 DE MARZO, COMUNIDAD CARMEN DEL MONTE ALDEA BARCENAS, VILLA NUEVA, GUATEMALA.</t>
  </si>
  <si>
    <t xml:space="preserve">EN PROCESO DE LIQUIDACIÓN / PENDIENTE LIQUIDACIÓN POR PARTE DE COMISIÓN RECEPTORA Y LIQUIDADORA / EL PRESENTE PROYECTO NO ALCANZA LA PONDERACIÓN DEL 100% POR TEMAS DE PLANIFICACIÓN. </t>
  </si>
  <si>
    <t>Supervisión de la obra: El supervisor realizó las visitas técnicas para verificar el estado de los trabajos, determinando que el grupo de proyectos cuenta con un 51.15% de ejecución física.
Generación de informes: Como parte de sus obligaciones, el supervisor generó los informes de supervisión correspondientes para documentar el estatus de las obras.
Verificación de cierres administrativos: Se constató que el proyecto ya cuenta con las actas de recepción y de liquidación.
Determinación de competencias: Se estableció que la Unidad de Construcción de Edificios del Estado (UCEE) es la institución con competencia directa para dar seguimiento a este expediente.
Acciones en espera: La supervisión concluyó que el proyecto se encuentra a la espera de las acciones y decisiones que tome la Dirección de la UCEE respecto a la continuidad o finalización de las intervenciones</t>
  </si>
  <si>
    <t>GRUPO 16</t>
  </si>
  <si>
    <t>136-2023-UCEE</t>
  </si>
  <si>
    <t>REMOZAMIENTO EOUM, COLONIA ULISES ROJAS, ALDEA BARCENAS, VILLA NUEVA, GUATEMALA.</t>
  </si>
  <si>
    <t>REMOZAMIENTO EOUM, 10 CALLE 7-60, COLONIA EL MEZQUITAL ZONA 12, VILLA NUEVA, GUATEMALA.</t>
  </si>
  <si>
    <t>EN PROCESO DE LIQUIDACIÓN / PENDIENTE LIQUIDACIÓN POR PARTE DE COMISIÓN RECEPTORA Y LIQUIDADORA / EL PRESENTE PROYECTO NO ALCANZA LA PONDERACIÓN DEL 100% POR TEMAS DE PLANIFICACIÓN.</t>
  </si>
  <si>
    <t>REMOZAMIENTO EODP ANEXA A ESCUELA TIPO FEDERACION NO.2 '17 DE ABRIL DE 1763', 5A. AVENIDA 2-57 B ZONA 4 VENECIA II, VILLA NUEVA, GUATEMALA</t>
  </si>
  <si>
    <t>RESCISIÓN SEGÚN RESOLUCIÓN No. SADS-772-2025 DE FECHA 27 DE AGOSTO 2025</t>
  </si>
  <si>
    <t>Agotamiento de la vía conciliatoria: Se realizaron las gestiones para intentar resolver las controversias con la empresa contratista, las cuales no fueron exitosas debido a la mala ejecución física y el atraso considerable en la obra.
Gestión de rescisión de contrato: Se procedió con la rescisión del contrato administrativo, la cual se encuentra actualmente en estado firme.
Determinación de acciones legales y técnicas: Se identificó que, al estar firme la rescisión, la competencia directa de la UCEE es avanzar hacia la finalización administrativa del proceso.
Nombramiento de Comisión Receptora y Liquidadora: Como acción inmediata y pendiente, el supervisor y la UCEE deben proceder con el nombramiento de la junta responsable de la recepción y liquidación del proyecto para determinar los saldos finales.</t>
  </si>
  <si>
    <t>GRUPO 17</t>
  </si>
  <si>
    <t>141-2023-UCEE</t>
  </si>
  <si>
    <t>REMOZAMIENTO EORM LA PAZ, 15 CALLE 14-41, 16 CALLE 13-42 Y 12-50 ZONA 4, ASENTAMIENTO LA PAZ, VILLA NUEVA, GUATEMALA</t>
  </si>
  <si>
    <t>REMOZAMIENTO EOUM ASENTAMIENTO NUEVO AMANECER, AVENIDA PRINCIPAL, SECTOR DOS, ASENTAMIENTO NUEVO AMANECER, CIUDAD PERONIA, ZONA 8, VILLA NUEVA, GUATEMALA</t>
  </si>
  <si>
    <t>REMOZAMIENTO EORM CASERIO LA VIRGEN, 11A. CALLE 1-78 CASERIO LA VIRGEN ZONA 2 CASERIO LA VIRGEN, VILLA CANALES, GUATEMALA.</t>
  </si>
  <si>
    <t>VILLA CANALES</t>
  </si>
  <si>
    <t>RESCISIÓN SEGÚN RESOLUCIÓN No. SADS-446-2025 DE FECHA 09 DE JUNIO 2025</t>
  </si>
  <si>
    <t>Identificación de incumplimiento contractual: La supervisión determinó que la empresa contratista abandonó las obras en los tres centros educativos (Caserío de La Virgen, Caserío Río Negro y Aldea Santa Rosita), habiendo transcurrido el 100% del tiempo contractual con un avance físico del 0%.
Gestión de rescisión por incumplimiento: Se inició el proceso para rescindir el contrato No. 145-2023-UCEE debido a que la empresa no cumplió con el inicio ni la ejecución de los trabajos pactados.
Protección financiera del Estado: El supervisor hizo constar que no se ha desembolsado ninguna estimación de pago, garantizando que los fondos públicos permanecen protegidos ante la falta de ejecución.
Solicitud de dictamen jurídico: Se solicitó agilizar la intervención del Departamento Jurídico para finalizar oficialmente la rescisión del contrato y poder liberar el proyecto legalmente.
Evaluación de daños y continuidad: La supervisión recomendó que, una vez liquidado el contrato actual, se inicie un nuevo evento de licitación o cotización, realizando previamente una evaluación de posibles deterioros adicionales en los centros (específicamente en la EORM Caserío de La Virgen) causados por las obras inconclusas.
Acciones administrativas vigentes: Actualmente el proyecto se encuentra en la fase de transición hacia la recepción y liquidación para el cierre legal definitivo.</t>
  </si>
  <si>
    <t>GRUPO 18</t>
  </si>
  <si>
    <t>145-2023-UCEE</t>
  </si>
  <si>
    <t>CONSTRUCTORA DE ORIENTE</t>
  </si>
  <si>
    <t>5609562-7</t>
  </si>
  <si>
    <t>REMOZAMIENTO EORM, CASERIO RIO NEGRO, VILLA CANALES, GUATEMALA.</t>
  </si>
  <si>
    <t>REMOZAMIENTO EORM, ALDEA SANTA ROSITA, VILLA CANALES, GUATEMALA.</t>
  </si>
  <si>
    <t>REMOZAMIENTO CENTRO DE ATENCIÓN INTEGRAL -CAI- BETHANIA, UBICADO EN AVENIDA MOCTEZUMA 25-35 COLONIA BETHANIA ZONA 7, GUATEMALA.</t>
  </si>
  <si>
    <t>RESCISIÓN SEGÚN RESOLUCIÓN No. SADS-588-2025, DE FECHA 25 DE JUNIO DE 2025</t>
  </si>
  <si>
    <t>Agotamiento de la vía conciliatoria: La supervisión determinó que se agotó esta vía debido a que la obra no fue realizada por la empresa contratista y esta no cumplió con la entrega de la documentación administrativa requerida.
Gestión de rescisión de contrato: Como consecuencia del incumplimiento en la ejecución y en la parte administrativa, el contrato fue rescindido.
Confirmación de estatus legal: El supervisor informó que la resolución de rescisión se encuentra actualmente en estado firme.
Identificación de alcances y responsabilidades: Se estableció que la competencia directa de la UCEE en este punto es proceder con el nombramiento de la Comisión Receptora y Liquidadora.
Acciones pendientes: La acción inmediata a realizar es el nombramiento formal de dicha comisión para iniciar el proceso de recepción y liquidación del proyecto rescindido.
Protección de intereses institucionales: El informe detalla que las instituciones con competencia directa en el seguimiento son el CIV (a través del Viceministerio de Edificios Estatales y la UCEE) y la Secretaría de Bienestar Social.</t>
  </si>
  <si>
    <t>GRUPO 25</t>
  </si>
  <si>
    <t>104-2024-UCEE</t>
  </si>
  <si>
    <t>REMOZAMIENTO EORM, CASERÍO COJCÁN, SAN JUAN IXCOY, HUEHUETENANGO</t>
  </si>
  <si>
    <t>SAN JUAN IXCOY</t>
  </si>
  <si>
    <t>RESCISIÓN UNILATERAL SEGÚN RESOLUCIÓN No. SADS-39-2026, DE FECHA 21 DE ENERO DE 2026</t>
  </si>
  <si>
    <t>•  Verificación y medición de obra: El supervisor realizó la verificación, revisión y medición de los trabajos en campo contrastándolos con la "sabana final" y las especificaciones técnicas.
•  Identificación de incumplimientos técnicos: Se determinó que, en varios renglones, las especificaciones técnicas no se cumplieron al 100%.
•  Determinación de avances: El supervisor estableció que el grupo de proyectos presenta un 86.42% de ejecución física global, mientras que el avance financiero pagado es del 90%.
•  Control de tiempos: Se documentó que el contratista presentó una carta de finalización el 17 de noviembre de 2023; sin embargo, la supervisión observó que el proyecto nunca fue terminado realmente.
•  Gestión de conciliación: Se llevó a cabo una conciliación administrativa en la que se estableció, mediante acta, que se tomarían acciones legales y administrativas debido a las inconsistencias entre el porcentaje físico y el financiero.
•  Revisión de cierres administrativos: El supervisor constató que, a pesar de las faltas en la ejecución, los proyectos cuentan con actas de recepción y liquidación al 100% en el sistema.
•  Recomendación de sanciones: El supervisor dejó a criterio de las máximas autoridades la aplicación de una multa al contratista por no haber finalizado el proyecto.
•  Emisión de dictamen: El arquitecto de la Unidad de Construcción de Edificios del Estado (UCEE) elaboró el informe detallando estas irregularidades para el seguimiento del Departamento de Operaciones.
Rescisión del proyecto.</t>
  </si>
  <si>
    <t>GRUPO 07</t>
  </si>
  <si>
    <t xml:space="preserve">264-2022-UCEE Y CONTRATO MODIFICATORIO 269-2023-UCEE </t>
  </si>
  <si>
    <t>CONSTRUCTORA PROALDA</t>
  </si>
  <si>
    <t>2530944-7</t>
  </si>
  <si>
    <t>REMOZAMIENTO ESCUELA OFICIAL RURAL MIXTA, CASERÍO LAS VEGAS ALDEA YULGUITZ II, SAN JUAN IXCOY, HUEHUETENANGO"</t>
  </si>
  <si>
    <t>REMOZAMIENTO EORM, CANTON TINAJAB ALDEA BULEJ, SAN MATEO IXTATAN, HUEHUETENANGO</t>
  </si>
  <si>
    <t>SAN MATEO IXTATÁN</t>
  </si>
  <si>
    <t>REMOZAMIENTO EORM, CASERIO LAS GUACAMAYAS ALDEA LA TOMA, JALAPA, JALAPA</t>
  </si>
  <si>
    <t>JALAPA</t>
  </si>
  <si>
    <t>RESCISIÓN UNILATERAL SEGÚN RESOLUCIÓN No. SADS-1000-2025, DE FECHA 25 DE NOVIEMBRE DE 2025</t>
  </si>
  <si>
    <t>Evaluación Física y Financiera
•Cálculo de Avances y Disparidades: La supervisión documentó una brecha crítica entre la ejecución real y lo pagado. Para la EORM Caserío las Guacamayas, reportó un avance físico del 58.00% frente a un avance financiero del 88.50%. En la EORM Caserío la Crucita, el avance físico registrado es del 55.00% frente a un 86.06% de avance financiero.
•Detección de Incumplimientos: Constató y reportó formalmente la "mala ejecución física" de la obra, sumado al abandono total del proyecto por parte de la empresa JMF Constructora S.A..
Gestión Contractual y Administrativa
•Exigencia de Regularización: Requirió a la constructora que realizara las correcciones pertinentes en la obra y que ingresara los documentos de cambio necesarios para la regularización del proyecto, requerimientos que la empresa omitió.
•Agotamiento de la Vía Conciliatoria: Llevó a cabo un proceso conciliatorio con la empresa para intentar solventar las anomalías, el cual finalmente se declaró como agotado ante la falta de respuesta y acción del contratista.
•Gestión de Rescisión: Derivado de la mala ejecución y el abandono, se promovió y concretó la rescisión del contrato, la cual se oficializó mediante la Resolución NO. SADS-1000-2025 de fecha 25 de noviembre de 2025.
Seguimiento Legal y Administrativo
•Monitoreo de Recurso Legal: Actualmente mantiene el seguimiento del caso, el cual se encuentra en espera de la resolución de un recurso de reposición que fue interpuesto por la constructora en contra de la decisión de rescisión.
•Planificación de Acciones Futuras: Estableció que, una vez que el recurso legal sea resuelto, se procederá a ejecutar los procesos administrativos que correspondan para el cierre o retoma del proyecto.</t>
  </si>
  <si>
    <t>216-2022-UCEE</t>
  </si>
  <si>
    <t>JMF CONSTRUCTORA, SOCIEDAD ANONIMA</t>
  </si>
  <si>
    <t>9378405-8</t>
  </si>
  <si>
    <t>REMOZAMIENTO EORM, CASERÍO LA CRUCITA, ALDEA EL PARAÍSO, JALAPA, JALAPA</t>
  </si>
  <si>
    <t>REMOZAMIENTO EOUM, BARRIO SANTA CRUZ, SAYAXCHE, PETÉN</t>
  </si>
  <si>
    <t>SAYAXCHE</t>
  </si>
  <si>
    <t xml:space="preserve">FINALIZADO / SE SOLICITÓ A LA ENTIDAD CONSTRUCTORA REPARACIONES QUE NO HAN REALIZADO / PENDIENTE VÍA CONCILIATORIA Y ADMINISTRATIVA </t>
  </si>
  <si>
    <t xml:space="preserve">Evaluación Técnica y Verificación en Campo
•Inspección Final y Rechazo de Recepción: Tras recibir la carta de finalización por parte de la empresa (Multiservicios del Nororiente) el 6 de agosto de 2025, el personal de la UCEE realizó una inspección final en la que determinó que la obra no podía ser recibida, fijando el avance físico en un 99%.
•Identificación de Defectos y Daños: Detectó y documentó fotográficamente múltiples áreas que requieren reparación o mantenimiento antes de la entrega final. Esto incluye la necesidad de volver a pintar muros y limpiar pisos (debido a que los maestros ingresaron a utilizar las instalaciones prematuramente en 2024), la reparación de un tubo de chimenea quemado y la corrección del sistema de conducción de agua desde el tinaco hacia los baños, el cual no funciona.
Seguimiento Legal y Medidas de Apremio
•Exigencia Formal de Reparaciones: Emitió oficios en dos fechas distintas (5 y 26 de agosto de 2025) ordenando a la empresa constructora la ejecución de las reparaciones necesarias, los cuales no obtuvieron respuesta durante 6 meses.
•Citación Oficial: Al no tener respuesta, citó al representante legal de la empresa a una reunión en las instalaciones de la UCEE para el 16 de enero de 2026 mediante el portal de Guatecompras. El representante no se presentó.
•Advertencia de Rescisión Unilateral: Estableció la directriz de realizar una segunda citación oficial. Dejó plasmada la conclusión de que, en caso de una nueva incomparecencia, se iniciará el proceso legal de rescisión unilateral del contrato.
•Constructora, solicito vía conciliatoria. </t>
  </si>
  <si>
    <t>289-2022-UCEE</t>
  </si>
  <si>
    <t>MULTISERVICIOS DEL NORORIENTE</t>
  </si>
  <si>
    <t>2033453-2</t>
  </si>
  <si>
    <t>REMOZAMIENTO EORM, BARRIO LA UNION, SAYAXCHE, PETÉN</t>
  </si>
  <si>
    <t>REMOZAMIENTO EORM, ALDEA LA CRUZ, CHICAMAN, QUICHÉ.</t>
  </si>
  <si>
    <t>CHICAMAN</t>
  </si>
  <si>
    <t>RESCISIÓN UNILATERAL SEGÚN RESOLUCIÓN No. SADS-985-2025, DE FECHA 18 DE NOVIEMBRE DE 2025</t>
  </si>
  <si>
    <t>•  Supervisión de Incumplimiento: Documentó en actas que el avance físico era apenas del 40%, frente a un progreso financiero pagado del 89.79%, con los plazos contractuales completamente vencidos.
•  Gestión Administrativa: Luego de múltiples citaciones sin éxito y acuerdos incumplidos por parte de la constructora para finalizar el proyecto en abril de 2025, remitió el expediente con los informes técnicos correspondientes a la Asesoría Jurídica para promover las acciones legales y rescisión.</t>
  </si>
  <si>
    <t>GRUPO 60</t>
  </si>
  <si>
    <t>143-2021-UCEE</t>
  </si>
  <si>
    <t>REMOZAMIENTO EORM, ALDEA CALÁ, CHICAMAN, QUICHÉ</t>
  </si>
  <si>
    <t>REMOZAMIENTO EORM, ALDEA EL ZAPOTE, CHICAMAN, QUICHÉ</t>
  </si>
  <si>
    <t>REMOZAMIENTO EODP, CASERIO NUEVO RIO NEGRO XIXIQUIN, CHICAMAN, QUICHÉ</t>
  </si>
  <si>
    <t>REMOZAMIENTO EORM, ALDEA OJO DE AGUA CHIXOY, CHICAMAN, QUICHÉ</t>
  </si>
  <si>
    <t>REMOZAMIENTO EORM, CASERIO EL JOCOTILLO, SAN PEDRO JOCOPILAS, QUICHÉ</t>
  </si>
  <si>
    <t>SAN PEDRO JOCOPILAS</t>
  </si>
  <si>
    <t>REMOZAMIENTO PUESTO DE SALUD, ALDEA SANTA CECILIA LA PIMIENTA, CHAJUL, QUICHE</t>
  </si>
  <si>
    <t>CHAJUL</t>
  </si>
  <si>
    <t>RESCISIÓN SEGÚN RESOLUCIÓN No. SADS-370-2025 DE FECHA 03 DE JUNIO 2025</t>
  </si>
  <si>
    <t>•  Auditoría de Ejecución y Pagos: Documentó una diferencia abismal entre el avance físico promedio, que fue apenas del 24.07%, frente a un avance financiero pagado del 89.99%. Determinó que la constructora (J.M.G.) debe devolver un saldo de Q 2,625,867.83.
•  Detección de Fraude por Duplicidad: Evidenció que la empresa cobró como propios trabajos (como muros, portones y techos) que en realidad habían sido ejecutados y finalizados previamente por la Hidroeléctrica Xacbal en los puestos de salud de Estrella Polar y Santa Cecilia La Pimienta. Recabó los oficios y actas del Ministerio de Salud que respaldan esta anomalía.
•  Acciones Legales y Administrativas: Citó al contratista, quien presentó una excusa inaceptable, dando por agotada la vía conciliatoria. Constató la terminación unilateral del contrato y documentó que se interpuso una denuncia penal ante la Fiscalía contra la Corrupción del Ministerio Público</t>
  </si>
  <si>
    <t>284-2022-UCEE</t>
  </si>
  <si>
    <t>CONSTRUCTORA J.M.G.</t>
  </si>
  <si>
    <t>2564888-8</t>
  </si>
  <si>
    <t>REMOZAMIENTO PUESTO DE SALUD, ALDEA AMAJACHEL, CHAJUL, QUICHE</t>
  </si>
  <si>
    <t>REMOZAMIENTO PUESTO DE SALUD, ALDEA ESTRELLA POLAR, CHAJUL, QUICHE</t>
  </si>
  <si>
    <t>REMOZAMIENTO PUESTO DE SALUD, ALDEA SANTA ROSA MORELIA, CHAJUL, QUICHE</t>
  </si>
  <si>
    <t>REMOZAMIENTO CENTRO DE SALUD, ALDEA NEBAJ, NEBAJ, QUICHE</t>
  </si>
  <si>
    <t>NEBAJ</t>
  </si>
  <si>
    <t>RESCISIÓN SEGÚN RESOLUCIÓN No. SADS-695-2025 DE FECHA 25 DE JULIO 2025</t>
  </si>
  <si>
    <t xml:space="preserve">•  Verificación de Abandono: A través de visitas técnicas y entrevistas con el personal de salud y comunitarios, confirmó que la empresa abandonó las obras desde marzo de 2024.
•  Cálculo de Desfase Financiero: Cuantificó el avance físico en un promedio de 35.74% frente a un avance financiero del 89.95%, 
•  Gestión Contractual Drástica: Citó a la empresa y se hizo entrega de una declaración jurada en la que el representante se comprometía a reiniciar labores. Tras comprobar en visitas posteriores que el contratista incumplió este acuerdo legal, dio por agotada la vía conciliatoria. Emisión de la resolución para dar por terminado el contrato unilateralmente. </t>
  </si>
  <si>
    <t>132-2023-UCEE CONTRATO MODIFICATORIO 291-2023-UCEE</t>
  </si>
  <si>
    <t>REMOZAMIENTO PUESTO DE SALUD, ALDEA TRAPICHITOS, NEBAJ, QUICHE</t>
  </si>
  <si>
    <t>REMOZAMIENTO PUESTO DE SALUD, ALDEA PALOP, NEBAJ, QUICHE</t>
  </si>
  <si>
    <t xml:space="preserve"> REMOZAMIENTO PUESTO DE SALUD, ALDEA SANTA MARIA TZEJA, IXCÁN, QUICHE</t>
  </si>
  <si>
    <t xml:space="preserve"> IXCÁN</t>
  </si>
  <si>
    <t>REMOZAMIENTO EORM, ALDEA LAS CULEBRAS, CHICAMAN, QUICHE.</t>
  </si>
  <si>
    <t>RESCISIÓN UNILATERAL SEGÚN RESOLUCIÓN No. SADS-986-2025, DE FECHA 18 DE NOVIEMBRE DE 2025</t>
  </si>
  <si>
    <t>•  Reporte de Abandono Total: Verificó que la constructora ignoró por completo sus obligaciones: en un establecimiento apenas ejecutó un 10% del muro perimetral y en el otro no realizó absolutamente ninguna intervención.
•  Iniciativa de Cierre Legal: Ante la negativa de la empresa a presentarse a las reuniones conciliatorias durante 2025, elevó los reportes al departamento jurídico de la UCEE para dar inicio al proceso de rescisión oficial del contrato.</t>
  </si>
  <si>
    <t>GRUPO 11</t>
  </si>
  <si>
    <t>125-2023-UCEE</t>
  </si>
  <si>
    <t>REMOZAMIENTO EORM, CASERIO CHUPACBALAM, SACAPULAS, QUICHE.</t>
  </si>
  <si>
    <t>SACAPULAS</t>
  </si>
  <si>
    <t>REMOZAMIENTO EORM, ALDEA EL PORVENIR CANDELARIA, COMITANCILLO, SAN MARCOS</t>
  </si>
  <si>
    <t>COMITANCILLO</t>
  </si>
  <si>
    <t xml:space="preserve">•  Auditoría de Abandono y Mala Calidad: Documentó que la empresa constructora ("Multiservicios PL") abandonó los trabajos desde 2023. Evidenció múltiples deficiencias, incluyendo muros de contención desplomados o sin terminar y la falta absoluta de trabajos de acabados.
•  Detección de Anomalías de Origen: Reportó la falta de planos oficiales para cuantificar correctamente los documentos de cambio, señalando como hallazgo grave que el proyecto fue subido inicialmente al portal de Guatecompras sin planos.
•  Ejecución de Medidas de Apremio: Realizó citaciones oficiales requiriendo la presencia del representante legal en las instalaciones de la UCEE, documentando su inasistencia recurrente y recolectando las notas de excusa como evidencia de incumplimiento.
•  Escalamiento para Rescisión: Ante el abandono, trasladó formalmente el expediente a la Asesoría Jurídica.
Proyecto en proceso de rescisión.  </t>
  </si>
  <si>
    <t>GRUPO 09</t>
  </si>
  <si>
    <t>265-2022-UCEE CONTRATO MODIFICATORIO 274-2023-UCEE</t>
  </si>
  <si>
    <t>MULTISERVICIOS PL</t>
  </si>
  <si>
    <t>8936014-1</t>
  </si>
  <si>
    <t>REMOZAMIENTO EORM, CASERIO EL SALITRE, COMITANCILLO, SAN MARCOS</t>
  </si>
  <si>
    <t>REMOZAMIENTO EORM, ALDEA ANTIGUO TUTUAPA, CONCEPCION TUTUAPA, SAN MARCOS</t>
  </si>
  <si>
    <t>CONCEPCIÓN TUTUAPA</t>
  </si>
  <si>
    <t>RESCISIÓN SEGÚN RESOLUCIÓN No. SADS-633-2025 DE FECHA 08 DE JULIO 2025</t>
  </si>
  <si>
    <t>•  Dictamen de Deterioro: Confirmó el abandono de obra desde 2023 por parte de la empresa ("ELDA Construcciones") y dejó constancia técnica de que, debido a la exposición al clima y la falta de terminación, varios elementos ya construidos se están deteriorando.
•  Seguimiento Legal: Documentó que el proceso administrativo para la rescisión ya fue ejecutado. Registró el intento de la empresa constructora de revertir la rescisión mediante un Recurso de Reposición, el cual fue resuelto y denegado en definitiva el 5 de diciembre de 2025.</t>
  </si>
  <si>
    <t>GRUPO 10</t>
  </si>
  <si>
    <t>267-2022-UCEE CONTRATO MODIFICATORIO 271-2023-UCEE</t>
  </si>
  <si>
    <t>ELDA CONSTRUCCIONES</t>
  </si>
  <si>
    <t>3641279-1</t>
  </si>
  <si>
    <t>REMOZAMIENTO EORM, ALDEA TUIZMO, CONCEPCION TUTUAPA, SAN MARCOS</t>
  </si>
  <si>
    <t>"REMOZAMIENTO EORM, CASERIO EL PORVENIR, CONCEPCION TUTUAPA, SAN MARCOS"</t>
  </si>
  <si>
    <t> REMOZAMIENTO ESCUELA NORMAL DE EDUCACION FISICA LIC. ARISTIDES BALDOMERO CRESPO VILLEGAS, BARRIO SAN MIGUEL, GUAZACAPAN, SANTA ROSA</t>
  </si>
  <si>
    <t>GUAZACAPAN</t>
  </si>
  <si>
    <t>SANTA ROSA</t>
  </si>
  <si>
    <t>EN TRÁMITES DE FINALIZACIÓN / SE TRASLADO INFORME PORMENORIZADO A DIRECCIÓN EL 11 DE MARZO 2026 PARA SU REVISIÓN</t>
  </si>
  <si>
    <t xml:space="preserve">Evaluación Técnica y Verificación en Campo
•Supervisión Post-Vencimiento: Al tomar el control del proyecto con el tiempo contractual ya caducado, el supervisor realizó una inspección en sitio y detectó que la constructora (De Leon Malouf y Morataya S.A.) aún tenía renglones de trabajo sin terminar.
•Detección de Ejecución Fuera de Especificaciones: A lo largo de sus visitas, constató y documentó mediante fotografías varias desviaciones respecto a los planos originales: se instalaron puertas con bisagras en lugar del sistema de pivote contratado, se evidenció la falta de ventanas de PVC en uno de los módulos, se construyeron mesas que no cumplen con los planos, y el muro perimetral ejecutado no cumple con la altura requerida.
Gestión Administrativa y Medidas de Apremio
•Aplicación de Ejecución Bajo Multa: Ante los trabajos faltantes y la ausencia de una prórroga de tiempo, el supervisor apercibió a la empresa constructora, indicándoles que debían continuar trabajando bajo sanción de multa hasta que lograran presentar la carta de finalización (la cual entregaron hasta el 22 de enero de 2025).
•Auditoría y Rechazo de Planos: Cuando la empresa presentó su informe pormenorizado en noviembre de 2025, el supervisor lo revisó y rechazó los planos, evidenciando que la documentación no reflejaba los trabajos que realmente se habían ejecutado en la obra.
•Citación y Ultimátum: Citó al contratista a una reunión el 16 de enero de 2026, donde suscribió una "ayuda de memoria" fijando un compromiso límite para el 30 de enero de 2026. Dejó la advertencia formal de que, de no presentar los planos corregidos, se levantaría un acta conciliatoria y, en caso de un nuevo incumplimiento, se daría por agotada la vía administrativa y conciliatoria. (Esta presión funcionó, logrando que la empresa entregara los planos digitales corregidos el 5 de febrero de 2026) .
•Se hizo entrega de informe pormenorizado a Dirección. </t>
  </si>
  <si>
    <t>124-2023-UCEE</t>
  </si>
  <si>
    <t>CONSTRUCTORA DE LEON MALOUF Y MORATAYA, S.A.</t>
  </si>
  <si>
    <t>313915-8</t>
  </si>
  <si>
    <t xml:space="preserve"> REMOZAMIENTO EORM, CASERIO LA VEGA ALDEA EL GUAYABO, CABAÑAS, ZACAPA</t>
  </si>
  <si>
    <t>CABAÑAS</t>
  </si>
  <si>
    <t>EN PROCESO DE RESCISIÓN / SE CITÓ A LA ENTIDAD CONSTRUCTORA, PARA LLEVAR A CABO VÍA CONCILIATORIA Y ADMINISTRATIVA, CON EL OBJETO DE CONOCER SU POSTURA CON RESPECTO A LA FINALIZACIÓN DEL PROYECTO, SIN EMBARGO, LA CONSTRUCTORA NO ATENDIÓ EL LLAMADO POR PARTE DE LA UCEE, Y ANTE EL INCUMPLIMIENTO DEL CONTRATO POR PARTE DE LA CONSTRUCTORA, SE AGOTÓ LA VÍA CONCILIATORIA Y ADMINISTRATIVA. DERIVADO DE DICHA SITUACIÓN SE TRASLADÓ EL EXPEDIENTE TÉCNICO Y FINANCIERO A LA ASESORÍA JURÍDICA, DEL CUAL SE RECOMENDÓ LA RESCISIÓN DEL MISMO. ACTUALMENTE EL EXPEDIENTE SE ENCUENTRA LA ASESORÍA JURÍDICA DEL MINISTERIO DE COMUNICACIONES, INFRAESTRUCTURA Y VIVIENDA.</t>
  </si>
  <si>
    <t xml:space="preserve">•Agotamiento de vía conciliatoria por incumplimiento de la entidad constructora. 
•Traslado de expediente a Asesoría Jurídica, para determinación de acciones legales. </t>
  </si>
  <si>
    <t>GRUPO 08</t>
  </si>
  <si>
    <t>133-2023-UCEE</t>
  </si>
  <si>
    <t>REMOZAMIENTO EORM , ALDEA SAN MIGUEL, HUITE, ZACAPA</t>
  </si>
  <si>
    <t>HUITE</t>
  </si>
  <si>
    <t>REMOZAMIENTO EORM , ALDEA CARI ALBALLEROS, ZACAPA, ZACAPA</t>
  </si>
  <si>
    <t>REMOZAMIENTO EORM, ALDEA CUESTA GRANDE, CUILAPA, SANTA ROSA</t>
  </si>
  <si>
    <t>CUILAPA</t>
  </si>
  <si>
    <t>RECEPCIONADO EL DÍA MIERCOLES 11-03-2026 / EN PROCESO DE LIQUIDACIÓN</t>
  </si>
  <si>
    <t>•Verificación de Calidad y Correcciones: Tras recibir una primera carta de finalización, el supervisor realizó una inspección de trabajos finales entre octubre y noviembre de 2025, en la cual solicitó a la empresa constructora (C.I.C. Consultoría de Ingeniería Civil) que realizara correcciones en la obra antes de darla por aceptada.
•Aprobación de Planos Finales: Recibió y validó los planos finales presentados por el contratista el 10 de febrero de 2026, asegurándose de que la obra estuviera acorde a los renglones contratados y a las modificaciones aprobadas.
•Oficialización de Entrega: Participó activamente en el acto de recepción oficial del proyecto el 11 de marzo de 2026. Durante esta visita, hizo entrega formal de las instalaciones a la Directora Departamental de Educación de Santa Rosa y al director del establecimiento para que los alumnos pudieran comenzar a utilizarlas.</t>
  </si>
  <si>
    <t>N/A</t>
  </si>
  <si>
    <t>005-2024-UCEE/DJ</t>
  </si>
  <si>
    <t>C.I.C. CONSULTORÍA DE INGENIERÍA CIVIL</t>
  </si>
  <si>
    <t>681496-4</t>
  </si>
  <si>
    <t>REMOZAMIENTO EORM, CASERIO EL PORVENIR, COLOMBA COSTA CUCA, QUETZALTENANGO</t>
  </si>
  <si>
    <t>COLOMBA COSTA CUCA</t>
  </si>
  <si>
    <t>CONSTRUCTORA HIZO ENTREGA DE CARTA DE FINALIZACIÓN / SUPERVISOR REALIZÓ CORRECCIONES DERIVADO A SUPERVISIÓN FINAL</t>
  </si>
  <si>
    <t>Primera Notificación de Finalización: El 2 de enero de 2026, la empresa presentó la carta de finalización, indicando que había culminado la totalidad de los renglones de trabajo contratados.
Verificación de Campo: Se realizó una visita de inspección el 20 de enero de 2026, en la cual se constató que aún existían renglones pendientes de ejecución.
Rechazo Administrativo: Se entregó el oficio de rechazo de la carta de finalización y se solicitó al contratista terminar los renglones pendientes, notificándole que dichos trabajos se ejecutarán bajo la aplicación de la multa correspondiente por retraso.
Segunda Notificación de Finalización: El 26 de febrero de 2026, la empresa presentó una nueva carta de finalización.
Hallazgos en Segunda Visita: El 3 de marzo se realizó la inspección de verificación, constatando que aún falta la instalación de rótulos de rutas de evacuación, extintores, el rótulo de construcción tipo 2 y los rótulos adosados a las puertas.
Acciones y Plazos: Se instruyó al contratista para que el día miércoles 11 de marzo los renglones estén totalmente ejecutados. Se programó una visita de verificación para esa fecha, solicitando además la presentación de los planos finales (as-built) para su revisión en campo.
Visita 12/03/2026: La empresa no ha terminado las correcciones solicitadas en la visita anterior.</t>
  </si>
  <si>
    <t>005-2025-UCEE/AJ</t>
  </si>
  <si>
    <t>CONSTRUCTORA OCHOA</t>
  </si>
  <si>
    <t>3812624-9</t>
  </si>
  <si>
    <t>REMOZAMIENTO EORM, CASERIO NUEVA SANTA ROSA, COLOMBA COSTA CUCA, QUETZALTENANGO</t>
  </si>
  <si>
    <t xml:space="preserve">PLAZO CONTRACTUAL VENCIDO / ENTIDAD CONSTRUCTORA SE COMPROMETIÓ A FINALIZAR EL PROYECTO BAJO MULTA POR RETRASO EN LA ENTREGA DEL PROYECTO, POR MEDIO DE ACTA CONCILIATORIA Y ADMINISTRATIVA.  </t>
  </si>
  <si>
    <t>"Desde el inicio, se  citó a la constructora para hacer entrega de la documentación que establecía la metodología para presentar estimaciones, bitácora, libro de actas y la programación inicial. Posteriormente, se les convocó debido a la falta de avance, contando con el apoyo de una ayuda de memoria por parte de asesoría jurídica.
Se gestionó el trámite para la primera estimación y, nuevamente, se citó a la empresa para hacerles ver el retraso en la ejecución. Asimismo, se elaboró el Documento de Cambio No. 1 y se realizó la ampliación del tiempo contractual.
La Contraloría General de Cuentas realizó una visita para verificar el estado de la obra. Actualmente, se elaboran los informes requeridos por las entidades solicitantes (Contraloría General de Cuentas, Congreso de la República o trámites internos). Cabe señalar que el plazo contractual se encuentra vencido, por lo que los trabajos actuales se ejecutan bajo la aplicación de multas."</t>
  </si>
  <si>
    <t>008-2025-UCEE/AJ</t>
  </si>
  <si>
    <t>SERVICIOS CONSOLIDADOS</t>
  </si>
  <si>
    <t>526445-6</t>
  </si>
  <si>
    <t>REMOZAMIENTO EORM, CASERIO NUEVO GUADALUPE, CANTON CHUVA, COLOMBA COSTA CUCA, QUETZALTENANGO</t>
  </si>
  <si>
    <t xml:space="preserve">PROYECTO FINALIZADO / SE HICIERON CORRECCIONES AL INFORME PORMENORIZADO, LOS CUALES ESTÁN PENDIENTES DE ENTREGA POR PARTE DE LA CONSTRUCTORA </t>
  </si>
  <si>
    <t>"Desde el inicio, se les citó para hacer entrega de la documentación que establecía la metodología para presentar estimaciones, bitácora, libro de actas y la programación inicial. Posteriormente, se les convocó debido a la falta de avance, contando con el apoyo de una ayuda de memoria por parte de Asesoría Jurídica.
Se gestionó el trámite para la primera estimación y, nuevamente, se citó a la empresa para hacerles ver el retraso en la ejecución. Asimismo, se elaboró el Documento de Cambio No. 1 y se realizó la ampliación del tiempo contractual.
La Contraloría General de Cuentas realizó una visita para verificar el estado de la obra. Actualmente, se elaboran los informes requeridos por las entidades solicitantes (Contraloría General de Cuentas, Congreso de la República o trámites internos). Cabe señalar que el plazo contractual se encuentra vencido, por lo que la empresa trabaja actualmente bajo la aplicación de multas."</t>
  </si>
  <si>
    <t>009-2025-UCEE/AJ</t>
  </si>
  <si>
    <t>REMOZAMIENTO EORM, CASERIO CHUACHACALTE, ALDEA TRES CRUCES, CUBULCO, BAJA VERAPAZ</t>
  </si>
  <si>
    <t>CUBULCO</t>
  </si>
  <si>
    <t>BAJA VERAPAZ</t>
  </si>
  <si>
    <t>PROYECTO FINALIZADO / PENDIENTE RECEPCIÓN Y LIQUIDACIÓN</t>
  </si>
  <si>
    <t>Solicitud de documentos para la habilitación de la bitácora ante la Contraloría General de Cuentas.
Levantamiento del estado actual del proyecto, debido a que las planificaciones presentan errores recurrentes.
Supervisiones ordinarias y redacción de actas de supervisión en el sistema de la página de la Contraloría General de Cuentas.
Elaboración y revisión del Documento de Cambio No. 1.
Elaboración de informes circunstanciados por cada visita realizada.
Revisión y conformación de expedientes de estimación.
Solicitud de correcciones de estimación y documentos de cambio.
Revisión y conformación del expediente de informe pormenorizado.
Solicitud de endosos de fianza relacionados con el documento de cambio, entre otros.
Recepción del proyecto 10/03/2026</t>
  </si>
  <si>
    <t>010-2025-UCEE/AJ</t>
  </si>
  <si>
    <t>CONSTRUCTORA HERALL</t>
  </si>
  <si>
    <t>569958-4</t>
  </si>
  <si>
    <t>REMOZAMIENTO EOUM No. 841 EL PARAISO I, 12 AVENIDA 10-42, COLONIA EL PARAISO I ZONA 7, MIXCO, GUATEMALA</t>
  </si>
  <si>
    <t>MIXCO</t>
  </si>
  <si>
    <t>Visitas de campo para verificar el avance físico del proyecto.
Asesoramiento para el llenado de la bitácora electrónica y cumplimiento de especificaciones técnicas.
Conformación de expedientes para las estimaciones No. 2 y No. 3.
Conformación de documentos para la Orden de Cambio No. 1 y solicitud de prórroga.
Cuantificación de renglones ejecutados.
Solicitud de correcciones según la carta de finalización de trabajos.
Solicitud de nuevas correcciones, quedando a la espera de verificar la finalización de las mismas.
Visita el 6 de marzo de 2026 / pendiente correcciones del informe pormenorizado por parte de la constructora.</t>
  </si>
  <si>
    <t>015-2025-UCEE/AJ</t>
  </si>
  <si>
    <t>CORPORACION PREXA, S.A.</t>
  </si>
  <si>
    <t>8018642-4</t>
  </si>
  <si>
    <t>REMOZAMIENTO INEBE CON ORIENTACION OCUPACIONAL LO DE COY JM, 12 CALLE 0-05 LO DE COY ZONA 1, MIXCO, GUATEMALA</t>
  </si>
  <si>
    <t>Visitas de campo para verificar el avance físico.
Asesoramiento para el llenado de la bitácora electrónica y el cumplimiento de especificaciones.
Conformación de expedientes para las estimaciones No. 1 y No. 2.
Conformación de documentos para la Orden de Cambio No. 1 y solicitud de prórroga.
Cuantificación de renglones ejecutados.</t>
  </si>
  <si>
    <t>014-2025-UCEE/AJ</t>
  </si>
  <si>
    <t>4 MESES</t>
  </si>
  <si>
    <t>MARKET PLACE, S.A.</t>
  </si>
  <si>
    <t>6634120-5</t>
  </si>
  <si>
    <t>REMOZAMIENTO EORM, CASERIO NUEVA ESPERANZA, COLOMBA COSTA CUCA, QUETZALTENANGO</t>
  </si>
  <si>
    <t>Primera Notificación de Finalización: El 2 de enero de 2026, la empresa presentó la carta de finalización, indicando que había culminado la totalidad de los renglones de trabajo contratados.
Verificación de Campo: Se realizó una visita de inspección el 20 de enero de 2026, en la cual se constató que aún existían renglones pendientes de ejecución.
Rechazo Administrativo: Se entregó el oficio de rechazo de la carta de finalización y se solicitó al contratista terminar los renglones pendientes, notificándole que dichos trabajos se ejecutarán bajo la aplicación de la multa correspondiente por retraso.
Segunda Notificación de Finalización: El 26 de febrero de 2026, la empresa presentó una nueva carta de finalización.
Hallazgos en Segunda Visita: El 3 de marzo se realizó la inspección de verificación, constatando que aún falta la instalación de rótulos de rutas de evacuación, extintores, el rótulo de construcción tipo 2 y los rótulos adosados a las puertas.
Acciones y Plazos: Se instruyó al contratista para que el día miércoles 11 de marzo los renglones estén totalmente ejecutados. Se programó una visita de verificación para esa fecha, solicitando además la presentación de los planos finales (as-built) para su revisión en campo.
Visita 12/03/2026 Faltan retoques de la visita anterior, se revisarán los planos finales del proyecto, se solicitó al contratista que presente lo más pronto el informe pormenorizado, para iniciar a conformarlo y presentarlo para nombrar comisión receptora y liquidadora.</t>
  </si>
  <si>
    <t>017-2025-UCEE/AJ</t>
  </si>
  <si>
    <t>REMOZAMIENTO EORM, CASERIO TRES CRUCES ALDEA CANCABAL, MALACANTANCITO, HUEHUETENANGO</t>
  </si>
  <si>
    <t>MALACANTANCITO</t>
  </si>
  <si>
    <t>Supervisión constante (mínimo una vez por semana).
Recordatorios por medio de llamadas, correos electrónicos y mensajes de texto acerca del incumplimiento del plazo contractual.
Citaciones publicadas a través del portal Guatecompras (09 de diciembre de 2025).
Reuniones en la UCEE, documentadas mediante ayuda de memoria (15 de octubre de 2025) y acta administrativa (13 de enero de 2026) en relación con los incumplimientos.
Traslado del expediente al Departamento Jurídico para informar sobre la situación actual (06 de enero de 2026).
El viernes 27 de febrero, la empresa constructora ingresó la carta de finalización de trabajos.
Última supervisión 10/03/2026.</t>
  </si>
  <si>
    <t>018-2025-UCEE/AJ</t>
  </si>
  <si>
    <t>ICCA INGENIERIA Y CONSTRUCCIÓN CENTROAMERICANA</t>
  </si>
  <si>
    <t>7544614-6</t>
  </si>
  <si>
    <t>REMOZAMIENTO EORM, SECTOR EL CODO PARCELAMIENTO EL ROSARIO, CHAMPERICO, RETALHULEU</t>
  </si>
  <si>
    <t>CHAMPERICO</t>
  </si>
  <si>
    <t>Presentación de Estimación: El 16 de febrero, la empresa presentó la primera estimación de pago; tras cinco meses de ejecución, el proyecto alcanzó un avance físico del 21.15%.
Visita de Verificación: Se realizó una visita de campo el 17 de febrero para constatar la subsanación de errores en los renglones de estructura portante, así como para realizar la medición de los renglones incluidos en la estimación.
Hallazgos: Durante la visita, se constató que los renglones reportados se encuentran debidamente ejecutados.
Revisión Financiera: Al revisar la estimación, se detectó un dato erróneo en el periodo reportado, por lo que se solicitaron los cambios correspondientes. La estimación fue presentada nuevamente el 2 de marzo para su revisión; sin embargo, el departamento financiero indicó que existen reparos pendientes.
Acciones a Seguir: Se solicitará al contratista que solvente los reparos de la estimación. Asimismo, se tiene programada una visita de campo para el día lunes 9 de marzo del presente año.
Última supervisión 10/03/2026, no se encontró personal en la obra, no hay avance en obra.</t>
  </si>
  <si>
    <t>025-2025-UCEE/AJ</t>
  </si>
  <si>
    <t>CONSTRUCTORA SILAS</t>
  </si>
  <si>
    <t>REMOZAMIENTO EORM, ALDEA EL AMAY, CHICAMAN, QUICHE</t>
  </si>
  <si>
    <r>
      <rPr>
        <sz val="15"/>
        <color rgb="FF000000"/>
        <rFont val="Calibri"/>
      </rPr>
      <t xml:space="preserve">Solicitud de documentos para la habilitación de la bitácora electrónica ante la Contraloría General de Cuentas y la respectiva gestión para su autorización.  Elaboración del Acta de Inicio del proyecto.
Visita técnica para la verificación del estado actual del proyecto, con el fin de determinar y/o ratificar los renglones a ejecutar.  Solicitud del Libro de Actas del proyecto y transcripción del acta de inicio en dicho libro.
Supervisión de trabajos realizada los días 17 de octubre, 19 de noviembre y 8 de diciembre de 2025; incluyendo sus respectivas anotaciones en la bitácora electrónica y la actualización de los informes circunstanciados.
Supervisión de trabajos realizada los días 18 de febrero y 5 de marzo de 2026, con sus correspondientes anotaciones en bitácora electrónica y actualización de informes circunstanciados.
Elaboración de "ayudas de memoria" derivadas de las citaciones al contratista en la UCEE debido al bajo avance físico del proyecto; dichos documentos se encuentran integrados en el leitz operativo.
Elaboración de documentación para el trámite de aprobación de la prórroga solicitada por el contratista.
Emisión de comunicaciones electrónicas solicitando la presentación de estimaciones de pago o, en su defecto, la justificación de no estimación.
Gestión de correos electrónicos para solicitar el endoso de la fianza de cumplimiento y el seguro de Todo Riesgo.
Elaboración de providencias acompañadas de informes técnicos para que la Asesoría Jurídica de la UCEE emita opinión sobre el estatus legal y administrativo del proyecto.
Análisis de la documentación de la estimación número uno, presentada el 02/03/2026 al Departamento de Operaciones; se realizó la verificación física en campo y el análisis de las cantidades para decretar incrementos, decrementos o creación de trabajos extras.  </t>
    </r>
    <r>
      <rPr>
        <b/>
        <sz val="15"/>
        <color rgb="FF000000"/>
        <rFont val="Calibri"/>
      </rPr>
      <t>Nota:</t>
    </r>
    <r>
      <rPr>
        <sz val="15"/>
        <color rgb="FF000000"/>
        <rFont val="Calibri"/>
      </rPr>
      <t xml:space="preserve"> El porcentaje de avance físico consignado fue verificado el 05 de marzo de 2026.</t>
    </r>
  </si>
  <si>
    <t>023-2025-UCEE/AJ</t>
  </si>
  <si>
    <t>REMOZAMIENTO EORM, ALDEA AGUA CALIENTE, SANTA CRUZ EL CHOL, BAJA VERAPAZ</t>
  </si>
  <si>
    <t>SANTA CRUZ EL CHOL</t>
  </si>
  <si>
    <t>Solicitud de documentos para la habilitación de la bitácora ante la Contraloría General de Cuentas.
Traslado del libro de actas para su activación ante la Contraloría General de Cuentas.
Levantamiento del estado actual del proyecto, debido a que la planificación presenta errores técnicos.
Supervisiones ordinarias y redacción de actas de supervisión en el sistema del portal de la Contraloría General de Cuentas.
Elaboración y revisión del Documento de Cambio No. 1.
Elaboración de informes circunstanciados por cada visita realizada.
Revisión y conformación del expediente de la estimación No. 1.
Solicitud de correcciones de la estimación No. 1 y del Documento de Cambio No. 1.
Revisión y conformación del expediente del informe pormenorizado.
Solicitud de endosos de fianza relacionados con el documento de cambio, entre otros.</t>
  </si>
  <si>
    <t>029-2025-UCEE/AJ</t>
  </si>
  <si>
    <t>MULTISERVICIOS C.V.</t>
  </si>
  <si>
    <t>6261593-9</t>
  </si>
  <si>
    <t>REMOZAMIENTO EORM, CANTON VISTA HERMOSA, JOCOTENANGO, SACATEPEQUEZ</t>
  </si>
  <si>
    <t>JOCOTENANGO</t>
  </si>
  <si>
    <t>SACATEPEQUEZ</t>
  </si>
  <si>
    <t>EN EJECUCIÓN, SE ENCUENTRA EN PROCESO DE CONTRATO MODIFICATORIO POR MALA UBICACIÓN GEOGRAFICA EN LA PARTIDA PRESUPUESTARIA</t>
  </si>
  <si>
    <t>"Desde el inicio, se les citó para hacer entrega de la documentación técnica que establecía los lineamientos para presentar estimaciones, bitácora, libro de actas y la programación inicial. En diciembre de 2025, se entregó la primera estimación; sin embargo, esta no procedió debido a que la asignación presupuestaria del proyecto se encuentra localizada erróneamente en otro departamento de la República. Por lo anterior, se requiere la elaboración de un contrato modificatorio para subsanar dicha situación, la cual permanece sin resolverse a la fecha.
En febrero de 2026, se tomó la iniciativa de solicitar el Certificado de Disponibilidad Presupuestaria (CDP), pero no se contaba con la disponibilidad necesaria para el proyecto. Ante esto, se solicitó opinión jurídica y se elevó el caso a la Dirección para agilizar la resolución del problema. Actualmente, el Documento de Cambio No. 1 se encuentra en proceso de gestión. Asimismo, la empresa solicitó una ampliación de tiempo contractual, por lo que se procederá con el trámite administrativo correspondiente."</t>
  </si>
  <si>
    <t>028-2025-UCEE/AJ</t>
  </si>
  <si>
    <t>CONSULTORIA Y CONSTRUCTORA LEMA, S.A.</t>
  </si>
  <si>
    <t>7385809-9</t>
  </si>
  <si>
    <t>REMOZAMIENTO EODP, COLONIA TIERRA VERDE, SIQUINALA, ESCUINTLA</t>
  </si>
  <si>
    <t>SIQUINALÁ</t>
  </si>
  <si>
    <t>Solicitud de documentos para la habilitación de la bitácora ante la autoridad correspondiente.
Bitácora habilitada y levantamiento del estado actual del proyecto.
Supervisiones de avance físico y elaboración del acta de inicio de los trabajos.
Elaboración de informes circunstanciados por cada visita de campo realizada.
Revisión y conformación del expediente de la estimación No. 1, correspondiente al 20% de avance físico.
Evaluación técnica de la Orden de Cambio No. 1, la cual se encuentra actualmente en proceso.
Conformación del expediente de la estimación No. 2, con un avance físico registrado del 47.23%.</t>
  </si>
  <si>
    <t>031-2025-UCEE/AJ</t>
  </si>
  <si>
    <t>REMOZAMIENTO EORM CASERÍO LOS ANGELES, CASERIO LOS ANGELES, CHAMPERICO, RETALHULEU</t>
  </si>
  <si>
    <t>Solicitud de documentos para la habilitación de la bitácora electrónica ante la Contraloría General de Cuentas y la respectiva gestión para su autorización.
Elaboración del Acta de Inicio del proyecto.
Visita técnica para la verificación del estado actual del proyecto, con el fin de determinar y/o ratificar los renglones a ejecutar.
Solicitud del Libro de Actas del proyecto y transcripción del acta de inicio en dicho libro.
Supervisión de trabajos realizada los días 25 de noviembre y 11 de diciembre de 2025; incluyendo sus respectivas anotaciones en la bitácora electrónica y la actualización de los informes circunstanciados.
Supervisión de trabajos realizada los días 03 y 25 de febrero de 2026, con sus correspondientes anotaciones en bitácora electrónica y actualización de informes circunstanciados.
Emisión de comunicaciones electrónicas solicitando la presentación de estimaciones de pago o, en su defecto, la justificación de no estimación.
Análisis de la documentación de la estimación número uno presentada por el contratista; se realizó la verificación física en campo y el análisis de las cantidades para determinar incrementos, decrementos o la creación de trabajos extras.</t>
  </si>
  <si>
    <t>030-2025-UCEE/AJ</t>
  </si>
  <si>
    <t>CONSTRUCTORA CUJANTRE</t>
  </si>
  <si>
    <t>205081-1</t>
  </si>
  <si>
    <t>REMOZAMIENTO EOUN No. 97 MONTE VERDE, 3A CALLE 'A' 2-02 ZONA 4, MIXCO, GUATEMALA</t>
  </si>
  <si>
    <t>"Proyecto en ejecución. Se realizó el acta de inicio y se solicitó la documentación para la habilitación de la bitácora electrónica. Asimismo, se informó a la empresa sobre los procedimientos de seguridad industrial y la desocupación de áreas. Se brindaron instrucciones sobre la elaboración de documentos de cambio y se han realizado visitas de supervisión, con sus respectivas anotaciones en la bitácora electrónica y la actualización del informe circunstanciado."
Visita de supervisión 11/03/2026. Se reportan los siguientes avances: fundición de piso en cancha, aplicación de acabado en paredes, así como la colocación de puertas y de la estructura de techo.</t>
  </si>
  <si>
    <t>034-2025-UCEE/AJ</t>
  </si>
  <si>
    <t>MULTISERVICIOS EMPRESARIALES M &amp; D</t>
  </si>
  <si>
    <t>4039329-1</t>
  </si>
  <si>
    <t>REMOZAMIENTO EODP ANEXA A EOUM MARIO MENDEZ MONTENEGRO, SAN JUAN ALOTENANGO, SACATEPEQUEZ</t>
  </si>
  <si>
    <t>SAN JUAN ALOTENANGO</t>
  </si>
  <si>
    <t>EN EJECUCIÓN, PROYECTO INICIÓ 09 DE ENERO DE 2026</t>
  </si>
  <si>
    <t>El proyecto se encuentra en ejecución. Se elaboró el acta de inicio (09 de enero de 2026) y se cuenta con la fianza de Todo Riesgo (01 de febrero de 2026). A la fecha, se han realizado dos supervisiones (la primera el 11/02/2026 y la segunda el 04/03/2026). Asimismo, ya se encuentra habilitada la bitácora electrónica y el proceso administrativo para la habilitación del libro de actas del proyecto está en curso (iniciado el 21/01/2026).</t>
  </si>
  <si>
    <t>049-2025-UCEE/AJ</t>
  </si>
  <si>
    <t>E K O INGENIERIA Y CONSTRUCCIÓN</t>
  </si>
  <si>
    <t>1184939-8</t>
  </si>
  <si>
    <t>REMOZAMIENTO EORM, ALDEA LOS ACHOTES, MORAZÁN, EL PROGRESO</t>
  </si>
  <si>
    <t>EN EJECUCIÓN, PROYECTO INICIÓ 13 DE ENERO DE 2026</t>
  </si>
  <si>
    <t>Elaboración del acta de inicio.
Cuantificación de renglones: situación inicial versus contratados.
Visitas de supervisión y cuantificación de renglones ejecutados.
Visita 13/03/2026 A la fecha se ha realizado la demolición del muro perimetral, desmontaje de ventanas, desmontaje de balcones y limpieza mecánica de muros .Actualmente se ejecutan trabajos de levantado del nuevo muro perimetral, instalación de ventanearía, aplicación de repello y cernido en aulas y dirección, así como la colocación de ductos eléctricos.</t>
  </si>
  <si>
    <t>048-2025-UCEE/AJ</t>
  </si>
  <si>
    <t>REMOZAMIENTO ESCUELA OFICIAL DE PARVULOS ANEXA A EORM VILLAS DEL QUETZAL ALDEA SAN JOSE LO DEL ORTEGA, SAN JUAN SACATEPEQUEZ</t>
  </si>
  <si>
    <t>SAN JUAN SACATEPEQUEZ</t>
  </si>
  <si>
    <t>EN EJECUCIÓN, PROYECTO INICIÓ 21 DE ENERO DE 2026</t>
  </si>
  <si>
    <t>"El plazo contractual del proyecto inició el 21 de enero. Se procedió con la elaboración del acta de inicio, la generación de la bitácora y la visita conjunta con el contratista para la entrega del establecimiento el 26 de enero.
Durante dicha visita, se realizó la medición del inmueble para definir los decrementos derivados del remozamiento ejecutado bajo el programa de 'gratuidad' por parte de la Directora, situación que modifica el alcance original del proyecto. Asimismo, se brindaron las instrucciones sobre los lineamientos para las anotaciones en bitácora y las normas de seguridad.
Actualmente, se lleva a cabo el proceso de verificación en obra para determinar las soluciones técnicas ante problemas in situ, derivados de discrepancias en la planificación que darán lugar a un documento de cambio. El establecimiento cuenta con ocupación parcial; las directoras de ambas jornadas se encuentran gestionando sedes alternas para el traslado de las actividades educativas."
Visita el 9/03/2026, por reunión con supervisora educativa por desocupación del establecimiento.</t>
  </si>
  <si>
    <t>055-2025-UCEE/AJ</t>
  </si>
  <si>
    <t>REMOZAMIENTO EOUM No. 1, SUMPANGO, SACATEPEQUEZ</t>
  </si>
  <si>
    <t>SUMPANGO</t>
  </si>
  <si>
    <t>EN EJECUCIÓN, PROYECTO INICIÓ 05 DE FEBRERO DE 2026</t>
  </si>
  <si>
    <t>El proyecto se encuentra en ejecución. Se elaboró el acta de inicio (05 de febrero de 2026) y ya se solicitó la fianza de Todo Riesgo. A la fecha, se ha realizado una supervisión (20 de febrero de 2026) y se tiene programada una nueva visita de seguimiento para este 12 de marzo de 2026. Asimismo, se habilitó la bitácora electrónica (05 de marzo de 2026) y se encuentra en curso el proceso administrativo para la habilitación del libro de actas del proyecto (iniciado el 20 de febrero de 2026).</t>
  </si>
  <si>
    <t>052-2025-UCEE/AJ</t>
  </si>
  <si>
    <t>REMOZAMIENTO PUESTO DE SALUD CERRO ALTO, SAN JUAN SACATEPÉQUEZ</t>
  </si>
  <si>
    <t>EN EJECUCIÓN, PROYECTO INICIÓ 09 DE FEBRERO DE 2026</t>
  </si>
  <si>
    <t>"Proyecto en ejecución. Se realizó el acta de inicio y se solicitó la documentación para la habilitación de la bitácora electrónica. Asimismo, se informó a la empresa sobre los procedimientos de seguridad industrial y la desocupación de áreas. También se brindaron instrucciones sobre la elaboración de documentos de cambio."
Visita de supervisión 11/03/2026  Se encuentran por concluir los trabajos preliminares, que incluyen el desmontaje de puertas, ventanas y artefactos sanitarios; asimismo, se reporta progreso en la remoción del acabado existente.</t>
  </si>
  <si>
    <t>053-2025-UCEE/AJ</t>
  </si>
  <si>
    <t xml:space="preserve">
REMOZAMIENTO INSTITUTO NACIONAL MIXTO DE EDUCACIÓN BÁSICA, 5A CALLE FINAL 7-80 ZONA 2, SAN RAYMUNDO, GUATEMALA</t>
  </si>
  <si>
    <t>SAN RAYMUNDO</t>
  </si>
  <si>
    <t>"El plazo contractual del proyecto inició el 9 de febrero. Se procedió con la elaboración del acta de inicio, la generación de la bitácora y la visita conjunta con el contratista para la entrega del establecimiento el 12 de febrero.
Durante dicha visita, se brindaron las instrucciones sobre los lineamientos para las anotaciones en bitácora y las normas de seguridad. Asimismo, se sostuvieron reuniones con el Supervisor Departamental con el fin de coordinar la entrega del inmueble para el inicio de los trabajos, logrando que este fuera entregado oficialmente a la empresa constructora el 2 de marzo del presente año.
Actualmente, el establecimiento cuenta con ocupación parcial, bajo el compromiso de instalar un muro perimetral provisional. Se estableció que, en un plazo de tres meses, el inmueble quedará libre de personal ajeno al proyecto."
Visita de supervisión 6/03/2026</t>
  </si>
  <si>
    <t>054-2025-UCEE/AJ</t>
  </si>
  <si>
    <t xml:space="preserve">
REMOZAMIENTO INEB VILLAS DEL RIO, COLONIA VILLAS DEL RIO, AMATITLÁN, GUATEMALA</t>
  </si>
  <si>
    <t>AMATITLÁN</t>
  </si>
  <si>
    <t>EN EJECUCIÓN, PROYECTO INICIÓ 11 DE FEBRERO DE 2026</t>
  </si>
  <si>
    <t>Supervisión constante (mínimo una vez por semana).
Realización del Acta de Inicio (11 de febrero de 2026).
Obtención de documentos legales, tales como constancias de colegiados activos y fianzas de cumplimiento (11 de febrero de 2026).
Habilitación de la bitácora electrónica.
Se realizará una visita de supervisión para la verificación del avance de obra el día 09 de marzo de 2026.
Visita el 9/03/2026 / Constructora realizando demolición de muros existentes como trabajos preliminares</t>
  </si>
  <si>
    <t>056-2025-UCEE/AJ</t>
  </si>
  <si>
    <t>REMOZAMIENTO EODP, MARIA TERESA RUIZ DOUGHERTY, PALIN, ESCUINTLA</t>
  </si>
  <si>
    <t>EN EJECUCIÓN, PROYECTO INICIÓ 13 DE FEBRERO DE 2026</t>
  </si>
  <si>
    <t>Solicitud de documentos para la habilitación de la bitácora ante la Contraloría General de Cuentas.
Levantamiento del estado actual del proyecto, debido a que la planificación original presenta errores técnicos.
Supervisiones ordinarias y tabulación de la información levantada, la cual servirá de base para el ingreso del Documento de Cambio No. 1.
Correcciones en el proceso de habilitación de la bitácora.
Traslado del libro de actas al Departamento de Compras para la gestión de pago y su posterior presentación ante la Contraloría General de Cuentas.</t>
  </si>
  <si>
    <t>051-2025-UCEE/AJ</t>
  </si>
  <si>
    <t>REMOZAMIENTO ESCUELA OFICIAL RURAL MIXTA, ALDEA LAS CHAPERNAS, ESCUINTLA, ESCUINTLA</t>
  </si>
  <si>
    <t>Solicitud de documentos para la habilitación de la bitácora.
Bitácora habilitada y levantamiento del estado actual del proyecto.
Supervisiones de avance físico y elaboración del acta de inicio.
Elaboración de informes circunstanciados por cada visita realizada.
Estado de la obra: A la fecha, la empresa no ha iniciado los trabajos, razón por la cual se procedió a citar al contratista el 06 de marzo de 2026 directamente en el lugar del proyecto para las diligencias correspondientes.
Visita de supervisión 6/03/2026</t>
  </si>
  <si>
    <t>01-2026-UCEE/AJ</t>
  </si>
  <si>
    <t>REMOZAMIENTO ESCUELA OFICIAL URBANA MIXTA No. 680 SAN ANTONIO, SAN MIGUEL PETAPA, GUATEMALA</t>
  </si>
  <si>
    <t>SAN MIGUEL PETAPA</t>
  </si>
  <si>
    <t>EN EJECUCIÓN, PROYECTO INICIÓ 24 DE FEBRERO DE 2026</t>
  </si>
  <si>
    <t>Se realizó el acta de inicio.
Gestión de la bitácora electrónica: Actualmente se encuentra en trámite ante la Contraloría General de Cuentas.
Elaboración de informes circunstanciados correspondientes al periodo de supervisión.
Visita de verificación: Se tiene contemplada una visita de campo para la verificación de los renglones de trabajo, programada del 09 al 13 de febrero de 2026.</t>
  </si>
  <si>
    <t>02-2026-UCEE/AJ</t>
  </si>
  <si>
    <t>REMOZAMIENTO COPB ANEXO A EORM, ALDEA SEPUR ZARCO, EL ESTOR, IZABAL</t>
  </si>
  <si>
    <t>EL ESTOR</t>
  </si>
  <si>
    <t>EN EJECUCIÓN, PROYECTO INICIÓ 27 DE FEBRERO DE 2026, EL CODIGO UDI EN PERFIL DEL PROYECTO EN GUATECOMPRAS ES DISTINTO AL QUE APARECE EN EL MINEDUC</t>
  </si>
  <si>
    <t>Acta de inicio: Se ha realizado el acta correspondiente.
Gestión de bitácora: La bitácora electrónica se encuentra en trámite ante la Contraloría General de Cuentas.
Elaboración de informes circunstanciados del periodo.
Verificación de campo: Se tiene contemplada una visita para la verificación de renglones de trabajo, programada del 9 al 13 de febrero de 2026.
Visita 12/03/2026 se ha realizado demolición de piso de concreto, desmontaje de ventanas, desmontaje de techo de algunas aulas y limpieza de pintura de superficies</t>
  </si>
  <si>
    <t>06-2026-UCEE/AJ</t>
  </si>
  <si>
    <t>REMOZAMIENTO COPB ANEXO A EORM ALDEA SAN PABLO UNO, EL ESTOR, IZABAL.</t>
  </si>
  <si>
    <t>EN EJECUCIÓN, PROYECTO INICIÓ 27 DE FEBRERO DE 2026</t>
  </si>
  <si>
    <t>Acta de inicio: Se ha realizado el acta correspondiente.
Gestión de bitácora: La bitácora electrónica se encuentra en trámite ante la Contraloría General de Cuentas.
Elaboración de informes circunstanciados del periodo.
Verificación de campo: Se tiene contemplada una visita para la verificación de renglones de trabajo, programada del 9 al 13 de febrero de 2026.
Última supervisión 11/03/2026, han realizado demolición piso de concreto, desmontaje de ventanas y balcones y retiro de pintura en superficies.</t>
  </si>
  <si>
    <t>05-2026-UCEE/AJ</t>
  </si>
  <si>
    <t>REMOZAMIENTO EORM ALDEA EL BONGO, EL ESTOR, IZABAL</t>
  </si>
  <si>
    <t>Acta de inicio: Se ha realizado el acta correspondiente.
Gestión de bitácora: La bitácora electrónica se encuentra en trámite ante la Contraloría General de Cuentas.
Elaboración de informes circunstanciados del periodo.
Verificación de campo: Se tiene contemplada una visita para la verificación de renglones de trabajo, programada del 9 al 13 de febrero de 2026.
Última supervisión 10/03/2026: La empresa ha realizado la demolición del piso de concreto, el desmontaje de puertas, ventanas y balcones, y el retiro de pintura en superficies.</t>
  </si>
  <si>
    <t>03-2026-UCEE/AJ</t>
  </si>
  <si>
    <t>REMOZAMIENTO EORM ALDEA AGUA CALIENTE EL PARAISO, EL ESTOR, IZABAL</t>
  </si>
  <si>
    <t>EN EJECUCIÓN, PROYECTO INICIÓ 03 DE MARZO DE 2026</t>
  </si>
  <si>
    <t xml:space="preserve">Acta de inicio: Se ha realizado el acta correspondiente.
Gestión de bitácora: La bitácora electrónica se encuentra en trámite ante la Contraloría General de Cuentas.
Elaboración de informes circunstanciados del periodo.
Verificación de campo: Se tiene contemplada una visita para la verificación de renglones de trabajo, programada del 9 al 13 de febrero de 2026.
Supervisión programada para semana del 9 al 13 de marzo de 2026
Última supervisión 10/03/2026: Se ha realizado demolición del piso de concreto, el desmontaje de ventanas, balcones e instalaciones eléctricas, y la remoción de pintura en superficies para iniciar con el repello. </t>
  </si>
  <si>
    <t>07-2026-UCEE/AJ</t>
  </si>
  <si>
    <t>REMOZAMIENTO COPB ANEXO A EORM CASERÍO BOCA ANCHA, EL ESTOR, IZABAL.</t>
  </si>
  <si>
    <t>Acta de inicio: Se ha realizado el acta correspondiente.
Gestión de bitácora: La bitácora electrónica se encuentra en trámite ante la Contraloría General de Cuentas.
Elaboración de informes circunstanciados del periodo.
Verificación de campo: Se tiene contemplada una visita para la verificación de renglones de trabajo, programada del 9 al 13 de febrero de 2026.
Visita 11/03/2026: han realizado demolición piso de concreto, desmontaje de ventanas y balcones y retiro de pintura en superficies.</t>
  </si>
  <si>
    <t>04-2026-UCEE/AJ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</si>
</sst>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quot;* #,##0.00_-;\-&quot;Q&quot;* #,##0.00_-;_-&quot;Q&quot;* &quot;-&quot;??_-;_-@_-"/>
    <numFmt numFmtId="43" formatCode="_-* #,##0.00_-;\-* #,##0.00_-;_-* &quot;-&quot;??_-;_-@_-"/>
    <numFmt numFmtId="167" formatCode="_-* #,##0.0000_-;\-* #,##0.0000_-;_-* &quot;-&quot;??_-;_-@_-"/>
  </numFmts>
  <fonts count="32" x14ac:knownFonts="1">
    <font>
      <sz val="11"/>
      <color theme="1"/>
      <name val="Aptos Narrow"/>
      <family val="2"/>
      <scheme val="minor"/>
    </font>
    <font>
      <sz val="11"/>
      <color theme="1"/>
      <name val="Aptos Narrow"/>
      <family val="2"/>
      <scheme val="minor"/>
    </font>
    <font>
      <b/>
      <sz val="15"/>
      <color theme="0"/>
      <name val="Calibri"/>
      <family val="2"/>
    </font>
    <font>
      <b/>
      <sz val="15"/>
      <color theme="0"/>
      <name val="Aptos Narrow"/>
      <family val="2"/>
      <scheme val="minor"/>
    </font>
    <font>
      <sz val="15"/>
      <color theme="1"/>
      <name val="Aptos Narrow"/>
      <family val="2"/>
      <scheme val="minor"/>
    </font>
    <font>
      <b/>
      <sz val="15"/>
      <color theme="1"/>
      <name val="Aptos Narrow"/>
      <family val="2"/>
      <scheme val="minor"/>
    </font>
    <font>
      <sz val="15"/>
      <name val="Aptos Narrow"/>
      <family val="2"/>
      <scheme val="minor"/>
    </font>
    <font>
      <b/>
      <sz val="15"/>
      <color rgb="FF002060"/>
      <name val="Aptos Narrow"/>
      <family val="2"/>
      <scheme val="minor"/>
    </font>
    <font>
      <b/>
      <sz val="15"/>
      <name val="Aptos Narrow"/>
      <family val="2"/>
      <scheme val="minor"/>
    </font>
    <font>
      <sz val="15"/>
      <color rgb="FF000000"/>
      <name val="Aptos Narrow"/>
      <family val="2"/>
      <scheme val="minor"/>
    </font>
    <font>
      <b/>
      <sz val="15"/>
      <color rgb="FF0070C0"/>
      <name val="Aptos Narrow"/>
      <family val="2"/>
      <scheme val="minor"/>
    </font>
    <font>
      <sz val="14"/>
      <color rgb="FF000000"/>
      <name val="Aptos Narrow"/>
      <scheme val="minor"/>
    </font>
    <font>
      <u/>
      <sz val="14"/>
      <color rgb="FF000000"/>
      <name val="Aptos Narrow"/>
      <scheme val="minor"/>
    </font>
    <font>
      <sz val="15"/>
      <color rgb="FF000000"/>
      <name val="Aptos Narrow"/>
      <scheme val="minor"/>
    </font>
    <font>
      <u/>
      <sz val="15"/>
      <color rgb="FF000000"/>
      <name val="Aptos Narrow"/>
      <scheme val="minor"/>
    </font>
    <font>
      <b/>
      <sz val="15"/>
      <color rgb="FF0070C0"/>
      <name val="Aptos Narrow"/>
      <scheme val="minor"/>
    </font>
    <font>
      <b/>
      <sz val="15"/>
      <color rgb="FF000000"/>
      <name val="Aptos Narrow"/>
      <scheme val="minor"/>
    </font>
    <font>
      <b/>
      <u/>
      <sz val="15"/>
      <color rgb="FF0070C0"/>
      <name val="Aptos Narrow"/>
      <scheme val="minor"/>
    </font>
    <font>
      <b/>
      <sz val="14"/>
      <color rgb="FF0070C0"/>
      <name val="Aptos Narrow"/>
      <scheme val="minor"/>
    </font>
    <font>
      <b/>
      <u/>
      <sz val="14"/>
      <color rgb="FF0070C0"/>
      <name val="Aptos Narrow"/>
      <scheme val="minor"/>
    </font>
    <font>
      <b/>
      <u/>
      <sz val="15"/>
      <color rgb="FF0070C0"/>
      <name val="Aptos Narrow"/>
      <family val="2"/>
      <scheme val="minor"/>
    </font>
    <font>
      <u/>
      <sz val="15"/>
      <name val="Aptos Narrow"/>
      <family val="2"/>
      <scheme val="minor"/>
    </font>
    <font>
      <sz val="15"/>
      <name val="Calibri"/>
      <family val="2"/>
    </font>
    <font>
      <b/>
      <sz val="15"/>
      <color rgb="FF002060"/>
      <name val="Calibri"/>
      <family val="2"/>
    </font>
    <font>
      <sz val="15"/>
      <color rgb="FF000000"/>
      <name val="Calibri"/>
      <family val="2"/>
    </font>
    <font>
      <sz val="15"/>
      <color rgb="FF000000"/>
      <name val="Calibri"/>
    </font>
    <font>
      <b/>
      <sz val="15"/>
      <color rgb="FF000000"/>
      <name val="Calibri"/>
    </font>
    <font>
      <b/>
      <sz val="11"/>
      <color indexed="81"/>
      <name val="Tahoma"/>
      <family val="2"/>
    </font>
    <font>
      <b/>
      <sz val="12"/>
      <color indexed="81"/>
      <name val="Tahoma"/>
      <family val="2"/>
    </font>
    <font>
      <b/>
      <sz val="11"/>
      <color indexed="81"/>
      <name val="Segoe UI"/>
      <family val="2"/>
    </font>
    <font>
      <sz val="14"/>
      <color indexed="81"/>
      <name val="Tahoma"/>
      <family val="2"/>
    </font>
    <font>
      <sz val="9"/>
      <color indexed="81"/>
      <name val="Tahoma"/>
      <charset val="1"/>
    </font>
  </fonts>
  <fills count="3">
    <fill>
      <patternFill patternType="none"/>
    </fill>
    <fill>
      <patternFill patternType="gray125"/>
    </fill>
    <fill>
      <patternFill patternType="solid">
        <fgColor theme="4" tint="-0.499984740745262"/>
        <bgColor rgb="FFB4C6E7"/>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cellStyleXfs>
  <cellXfs count="79">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4" fillId="0" borderId="4" xfId="0" applyFont="1" applyBorder="1" applyAlignment="1">
      <alignment horizontal="center" vertical="center"/>
    </xf>
    <xf numFmtId="1" fontId="5" fillId="0" borderId="4" xfId="0" applyNumberFormat="1" applyFont="1" applyBorder="1" applyAlignment="1">
      <alignment horizontal="center" vertical="center"/>
    </xf>
    <xf numFmtId="0" fontId="6" fillId="0" borderId="4" xfId="0" applyFont="1" applyBorder="1" applyAlignment="1">
      <alignment horizontal="center" vertical="center" wrapText="1"/>
    </xf>
    <xf numFmtId="10" fontId="7"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6" fillId="0" borderId="4" xfId="0" applyFont="1" applyBorder="1" applyAlignment="1">
      <alignment horizontal="center" vertical="center"/>
    </xf>
    <xf numFmtId="0" fontId="9" fillId="0" borderId="4" xfId="0" applyFont="1" applyBorder="1" applyAlignment="1">
      <alignment horizontal="center" vertical="center"/>
    </xf>
    <xf numFmtId="14" fontId="6" fillId="0" borderId="4" xfId="0" applyNumberFormat="1" applyFont="1" applyBorder="1" applyAlignment="1">
      <alignment horizontal="center" vertical="center"/>
    </xf>
    <xf numFmtId="0" fontId="4" fillId="0" borderId="6" xfId="0" applyFont="1" applyBorder="1" applyAlignment="1">
      <alignment horizontal="center" vertical="center" wrapText="1"/>
    </xf>
    <xf numFmtId="44" fontId="6" fillId="0" borderId="4" xfId="2" applyFont="1" applyFill="1" applyBorder="1" applyAlignment="1">
      <alignment horizontal="center" vertical="center"/>
    </xf>
    <xf numFmtId="44" fontId="9" fillId="0" borderId="4" xfId="0" applyNumberFormat="1" applyFont="1" applyBorder="1" applyAlignment="1">
      <alignment horizontal="center" vertical="center"/>
    </xf>
    <xf numFmtId="44" fontId="6" fillId="0" borderId="4" xfId="2" applyFont="1" applyBorder="1" applyAlignment="1">
      <alignment horizontal="center" vertical="center" wrapText="1"/>
    </xf>
    <xf numFmtId="0" fontId="6" fillId="0" borderId="4" xfId="0" applyFont="1" applyBorder="1" applyAlignment="1">
      <alignment horizontal="left" vertical="center" wrapText="1"/>
    </xf>
    <xf numFmtId="14" fontId="6" fillId="0" borderId="4" xfId="0" applyNumberFormat="1" applyFont="1" applyBorder="1" applyAlignment="1">
      <alignment horizontal="center" vertical="center" wrapText="1"/>
    </xf>
    <xf numFmtId="0" fontId="10" fillId="0" borderId="4" xfId="0" applyFont="1" applyBorder="1" applyAlignment="1">
      <alignment horizontal="center" vertical="center" wrapText="1"/>
    </xf>
    <xf numFmtId="10" fontId="10" fillId="0" borderId="4" xfId="0" applyNumberFormat="1" applyFont="1" applyBorder="1" applyAlignment="1">
      <alignment horizontal="center" vertical="center" wrapText="1"/>
    </xf>
    <xf numFmtId="0" fontId="10" fillId="0" borderId="4" xfId="0" applyFont="1" applyBorder="1" applyAlignment="1">
      <alignment horizontal="center" vertical="center"/>
    </xf>
    <xf numFmtId="14" fontId="10" fillId="0" borderId="4" xfId="0" applyNumberFormat="1" applyFont="1" applyBorder="1" applyAlignment="1">
      <alignment horizontal="center" vertical="center"/>
    </xf>
    <xf numFmtId="0" fontId="10" fillId="0" borderId="6" xfId="0" applyFont="1" applyBorder="1" applyAlignment="1">
      <alignment horizontal="center" vertical="center" wrapText="1"/>
    </xf>
    <xf numFmtId="44" fontId="10" fillId="0" borderId="4" xfId="2" applyFont="1" applyFill="1" applyBorder="1" applyAlignment="1">
      <alignment horizontal="center" vertical="center"/>
    </xf>
    <xf numFmtId="44" fontId="10" fillId="0" borderId="4" xfId="0" applyNumberFormat="1" applyFont="1" applyBorder="1" applyAlignment="1">
      <alignment horizontal="center" vertical="center"/>
    </xf>
    <xf numFmtId="14" fontId="8" fillId="0" borderId="4" xfId="0" applyNumberFormat="1" applyFont="1" applyBorder="1" applyAlignment="1">
      <alignment horizontal="center" vertical="center"/>
    </xf>
    <xf numFmtId="0" fontId="8" fillId="0" borderId="4" xfId="0" applyFont="1" applyBorder="1" applyAlignment="1">
      <alignment horizontal="center" vertical="center"/>
    </xf>
    <xf numFmtId="0" fontId="11" fillId="0" borderId="4" xfId="0" applyFont="1" applyBorder="1" applyAlignment="1">
      <alignment horizontal="left" vertical="center" wrapText="1"/>
    </xf>
    <xf numFmtId="0" fontId="11" fillId="0" borderId="4" xfId="0" applyFont="1" applyBorder="1" applyAlignment="1">
      <alignment horizontal="center" vertical="center" wrapText="1"/>
    </xf>
    <xf numFmtId="0" fontId="13" fillId="0" borderId="4" xfId="0" applyFont="1" applyBorder="1" applyAlignment="1">
      <alignment horizontal="left" vertical="center" wrapText="1"/>
    </xf>
    <xf numFmtId="10" fontId="7" fillId="0" borderId="4" xfId="3" applyNumberFormat="1" applyFont="1" applyFill="1" applyBorder="1" applyAlignment="1">
      <alignment horizontal="center" vertical="center" wrapText="1"/>
    </xf>
    <xf numFmtId="0" fontId="6" fillId="0" borderId="4" xfId="4" applyFont="1" applyBorder="1" applyAlignment="1">
      <alignment horizontal="center" vertical="center" wrapText="1"/>
    </xf>
    <xf numFmtId="10" fontId="7" fillId="0" borderId="4" xfId="4" applyNumberFormat="1" applyFont="1" applyBorder="1" applyAlignment="1">
      <alignment horizontal="center" vertical="center" wrapText="1"/>
    </xf>
    <xf numFmtId="0" fontId="13" fillId="0" borderId="4" xfId="0" applyFont="1" applyBorder="1" applyAlignment="1">
      <alignment horizontal="center" vertical="center" wrapText="1"/>
    </xf>
    <xf numFmtId="0" fontId="15" fillId="0" borderId="4" xfId="0" applyFont="1" applyBorder="1" applyAlignment="1">
      <alignment horizontal="center" vertical="center" wrapText="1"/>
    </xf>
    <xf numFmtId="0" fontId="18" fillId="0" borderId="4" xfId="0" applyFont="1" applyBorder="1" applyAlignment="1">
      <alignment horizontal="center" vertical="center" wrapText="1"/>
    </xf>
    <xf numFmtId="44" fontId="10" fillId="0" borderId="4" xfId="2" applyFont="1" applyBorder="1" applyAlignment="1">
      <alignment horizontal="center" vertical="center" wrapText="1"/>
    </xf>
    <xf numFmtId="0" fontId="10" fillId="0" borderId="4" xfId="4" applyFont="1" applyBorder="1" applyAlignment="1">
      <alignment horizontal="center"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4" xfId="0" applyFont="1" applyBorder="1" applyAlignment="1">
      <alignment horizontal="center" vertical="center" wrapText="1"/>
    </xf>
    <xf numFmtId="0" fontId="4" fillId="0" borderId="8" xfId="0" applyFont="1" applyBorder="1" applyAlignment="1">
      <alignment horizontal="center" vertical="center" wrapText="1"/>
    </xf>
    <xf numFmtId="0" fontId="8" fillId="0" borderId="4" xfId="4" applyFont="1" applyBorder="1" applyAlignment="1">
      <alignment horizontal="center" vertical="center" wrapText="1"/>
    </xf>
    <xf numFmtId="10" fontId="6" fillId="0" borderId="4" xfId="4" applyNumberFormat="1" applyFont="1" applyBorder="1" applyAlignment="1">
      <alignment horizontal="center" vertical="center" wrapText="1"/>
    </xf>
    <xf numFmtId="10" fontId="4" fillId="0" borderId="4" xfId="4" applyNumberFormat="1" applyFont="1" applyBorder="1" applyAlignment="1">
      <alignment horizontal="center" vertical="center" wrapText="1"/>
    </xf>
    <xf numFmtId="44" fontId="6" fillId="0" borderId="4" xfId="2" applyFont="1" applyFill="1" applyBorder="1" applyAlignment="1">
      <alignment horizontal="center" vertical="center" wrapText="1"/>
    </xf>
    <xf numFmtId="10" fontId="10" fillId="0" borderId="4" xfId="4" applyNumberFormat="1" applyFont="1" applyBorder="1" applyAlignment="1">
      <alignment horizontal="center" vertical="center" wrapText="1"/>
    </xf>
    <xf numFmtId="44" fontId="10" fillId="0" borderId="4" xfId="2" applyFont="1" applyFill="1" applyBorder="1" applyAlignment="1">
      <alignment horizontal="center" vertical="center" wrapText="1"/>
    </xf>
    <xf numFmtId="44" fontId="10" fillId="0" borderId="4" xfId="2" applyFont="1" applyBorder="1" applyAlignment="1">
      <alignment horizontal="center" vertical="center"/>
    </xf>
    <xf numFmtId="0" fontId="20" fillId="0" borderId="4" xfId="4" applyFont="1" applyBorder="1" applyAlignment="1">
      <alignment horizontal="center" vertical="center" wrapText="1"/>
    </xf>
    <xf numFmtId="0" fontId="21" fillId="0" borderId="4" xfId="4" applyFont="1" applyBorder="1" applyAlignment="1">
      <alignment horizontal="center" vertical="center" wrapText="1"/>
    </xf>
    <xf numFmtId="0" fontId="4" fillId="0" borderId="4" xfId="4" applyFont="1" applyBorder="1" applyAlignment="1">
      <alignment horizontal="center" vertical="center" wrapText="1"/>
    </xf>
    <xf numFmtId="0" fontId="6" fillId="0" borderId="3" xfId="0" applyFont="1" applyBorder="1" applyAlignment="1">
      <alignment horizontal="center" vertical="center" wrapText="1"/>
    </xf>
    <xf numFmtId="0" fontId="6" fillId="0" borderId="9"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10" fillId="0" borderId="10" xfId="0" applyFont="1" applyBorder="1" applyAlignment="1">
      <alignment horizontal="center" vertical="center" wrapText="1"/>
    </xf>
    <xf numFmtId="14" fontId="9" fillId="0" borderId="4" xfId="0" applyNumberFormat="1" applyFont="1" applyBorder="1" applyAlignment="1">
      <alignment horizontal="center" vertical="center"/>
    </xf>
    <xf numFmtId="1" fontId="5" fillId="0" borderId="3" xfId="0" applyNumberFormat="1" applyFont="1" applyBorder="1" applyAlignment="1">
      <alignment horizontal="center" vertical="center"/>
    </xf>
    <xf numFmtId="14" fontId="6" fillId="0" borderId="3" xfId="0" applyNumberFormat="1" applyFont="1" applyBorder="1" applyAlignment="1">
      <alignment horizontal="center" vertical="center"/>
    </xf>
    <xf numFmtId="2" fontId="6" fillId="0" borderId="4" xfId="4" applyNumberFormat="1" applyFont="1" applyBorder="1" applyAlignment="1">
      <alignment horizontal="center" vertical="center" wrapText="1"/>
    </xf>
    <xf numFmtId="10" fontId="4" fillId="0" borderId="0" xfId="4" applyNumberFormat="1" applyFont="1" applyAlignment="1">
      <alignment horizontal="center" vertical="center" wrapText="1"/>
    </xf>
    <xf numFmtId="0" fontId="22" fillId="0" borderId="4" xfId="0" applyFont="1" applyBorder="1" applyAlignment="1">
      <alignment horizontal="center" vertical="center" wrapText="1"/>
    </xf>
    <xf numFmtId="0" fontId="22" fillId="0" borderId="9" xfId="0" applyFont="1" applyBorder="1" applyAlignment="1">
      <alignment horizontal="center" vertical="center" wrapText="1"/>
    </xf>
    <xf numFmtId="10" fontId="23" fillId="0" borderId="4" xfId="0" applyNumberFormat="1" applyFont="1" applyBorder="1" applyAlignment="1">
      <alignment horizontal="center" vertical="center" wrapText="1"/>
    </xf>
    <xf numFmtId="0" fontId="22" fillId="0" borderId="4" xfId="0" applyFont="1" applyBorder="1" applyAlignment="1">
      <alignment horizontal="center" vertical="center"/>
    </xf>
    <xf numFmtId="0" fontId="24" fillId="0" borderId="4" xfId="0" applyFont="1" applyBorder="1" applyAlignment="1">
      <alignment horizontal="center" vertical="center" wrapText="1"/>
    </xf>
    <xf numFmtId="0" fontId="25" fillId="0" borderId="4" xfId="0" applyFont="1" applyBorder="1" applyAlignment="1">
      <alignment horizontal="center" vertical="center" wrapText="1"/>
    </xf>
    <xf numFmtId="167" fontId="2" fillId="2" borderId="3" xfId="1" applyNumberFormat="1" applyFont="1" applyFill="1" applyBorder="1" applyAlignment="1">
      <alignment horizontal="center" vertical="center" wrapText="1"/>
    </xf>
    <xf numFmtId="167" fontId="9" fillId="0" borderId="4" xfId="1" applyNumberFormat="1" applyFont="1" applyBorder="1" applyAlignment="1">
      <alignment horizontal="center" vertical="center"/>
    </xf>
    <xf numFmtId="167" fontId="10" fillId="0" borderId="4" xfId="1" applyNumberFormat="1" applyFont="1" applyBorder="1" applyAlignment="1">
      <alignment horizontal="center" vertical="center"/>
    </xf>
    <xf numFmtId="167" fontId="6" fillId="0" borderId="4" xfId="1" applyNumberFormat="1" applyFont="1" applyBorder="1" applyAlignment="1">
      <alignment horizontal="center" vertical="center"/>
    </xf>
    <xf numFmtId="167" fontId="9" fillId="0" borderId="4" xfId="1" applyNumberFormat="1" applyFont="1" applyBorder="1" applyAlignment="1">
      <alignment horizontal="center" vertical="center" wrapText="1"/>
    </xf>
    <xf numFmtId="167" fontId="6" fillId="0" borderId="4" xfId="1" applyNumberFormat="1" applyFont="1" applyBorder="1" applyAlignment="1">
      <alignment horizontal="center" vertical="center" wrapText="1"/>
    </xf>
    <xf numFmtId="167" fontId="0" fillId="0" borderId="0" xfId="1" applyNumberFormat="1" applyFont="1"/>
  </cellXfs>
  <cellStyles count="5">
    <cellStyle name="Millares" xfId="1" builtinId="3"/>
    <cellStyle name="Moneda" xfId="2" builtinId="4"/>
    <cellStyle name="Normal" xfId="0" builtinId="0"/>
    <cellStyle name="Normal 2" xfId="4" xr:uid="{FB3010D3-CA1D-470F-8BBC-29235B0BC91E}"/>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Gerardo Estrada" id="{05EDD1B9-9E27-4E5E-BEF6-115866FF19A4}" userId="S::gestrada@ucee.gob.gt::4ab8a840-7002-41c6-bc2f-38387a25765b"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109" dT="2025-10-08T17:21:07.61" personId="{05EDD1B9-9E27-4E5E-BEF6-115866FF19A4}" id="{72779D95-8EED-4E68-9185-5A6FFDBF6DEE}">
    <text>Pendiente ratificación de días contractuales en Depto. Juridico</text>
  </threadedComment>
  <threadedComment ref="S110" dT="2025-10-08T17:21:07.61" personId="{05EDD1B9-9E27-4E5E-BEF6-115866FF19A4}" id="{0CE95864-EAED-44B9-9E97-11F0CB8F3828}">
    <text>Pendiente ratificación de días contractuales en Depto. Juridico</text>
  </threadedComment>
  <threadedComment ref="S111" dT="2025-10-08T17:21:07.61" personId="{05EDD1B9-9E27-4E5E-BEF6-115866FF19A4}" id="{06AEC87D-E3F7-4F59-9505-BE41902B7FD4}">
    <text>Pendiente ratificación de días contractuales en Depto. Juridico</text>
  </threadedComment>
  <threadedComment ref="S112" dT="2025-10-08T17:21:07.61" personId="{05EDD1B9-9E27-4E5E-BEF6-115866FF19A4}" id="{B766B200-634A-4FC3-8693-A981DCB5AF4C}">
    <text>Pendiente ratificación de días contractuales en Depto. Juridico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FCA36-68E1-48DB-B35D-1906B0292A5D}">
  <dimension ref="A1:AB129"/>
  <sheetViews>
    <sheetView tabSelected="1" topLeftCell="L1" workbookViewId="0">
      <selection activeCell="P1" sqref="P1:Q3"/>
    </sheetView>
  </sheetViews>
  <sheetFormatPr baseColWidth="10" defaultRowHeight="15" x14ac:dyDescent="0.25"/>
  <cols>
    <col min="1" max="1" width="10" bestFit="1" customWidth="1"/>
    <col min="2" max="2" width="15.42578125" bestFit="1" customWidth="1"/>
    <col min="3" max="3" width="16" bestFit="1" customWidth="1"/>
    <col min="4" max="4" width="20.28515625" bestFit="1" customWidth="1"/>
    <col min="5" max="5" width="15.85546875" bestFit="1" customWidth="1"/>
    <col min="6" max="6" width="15" bestFit="1" customWidth="1"/>
    <col min="7" max="7" width="15.42578125" bestFit="1" customWidth="1"/>
    <col min="8" max="9" width="15.85546875" bestFit="1" customWidth="1"/>
    <col min="10" max="10" width="72.42578125" bestFit="1" customWidth="1"/>
    <col min="11" max="11" width="215" bestFit="1" customWidth="1"/>
    <col min="12" max="12" width="16" bestFit="1" customWidth="1"/>
    <col min="13" max="13" width="11.28515625" bestFit="1" customWidth="1"/>
    <col min="14" max="14" width="12.7109375" bestFit="1" customWidth="1"/>
    <col min="15" max="15" width="16" bestFit="1" customWidth="1"/>
    <col min="16" max="16" width="16" style="78" bestFit="1" customWidth="1"/>
    <col min="17" max="17" width="16.5703125" style="78" bestFit="1" customWidth="1"/>
    <col min="18" max="18" width="17.7109375" bestFit="1" customWidth="1"/>
    <col min="19" max="19" width="18.7109375" bestFit="1" customWidth="1"/>
    <col min="20" max="20" width="16" bestFit="1" customWidth="1"/>
    <col min="21" max="21" width="14.140625" bestFit="1" customWidth="1"/>
    <col min="22" max="22" width="15.5703125" bestFit="1" customWidth="1"/>
    <col min="23" max="23" width="11.28515625" bestFit="1" customWidth="1"/>
    <col min="24" max="24" width="23" bestFit="1" customWidth="1"/>
    <col min="25" max="25" width="23.42578125" bestFit="1" customWidth="1"/>
    <col min="26" max="26" width="22.42578125" bestFit="1" customWidth="1"/>
    <col min="27" max="27" width="25.85546875" bestFit="1" customWidth="1"/>
    <col min="28" max="28" width="25" bestFit="1" customWidth="1"/>
  </cols>
  <sheetData>
    <row r="1" spans="1:28" ht="78" x14ac:dyDescent="0.25">
      <c r="A1" s="1" t="s">
        <v>0</v>
      </c>
      <c r="B1" s="1" t="s">
        <v>1</v>
      </c>
      <c r="C1" s="1" t="s">
        <v>2</v>
      </c>
      <c r="D1" s="1" t="s">
        <v>3</v>
      </c>
      <c r="E1" s="1" t="s">
        <v>4</v>
      </c>
      <c r="F1" s="1" t="s">
        <v>5</v>
      </c>
      <c r="G1" s="1" t="s">
        <v>6</v>
      </c>
      <c r="H1" s="1" t="s">
        <v>7</v>
      </c>
      <c r="I1" s="1" t="s">
        <v>8</v>
      </c>
      <c r="J1" s="1" t="s">
        <v>9</v>
      </c>
      <c r="K1" s="2" t="s">
        <v>10</v>
      </c>
      <c r="L1" s="2" t="s">
        <v>11</v>
      </c>
      <c r="M1" s="3" t="s">
        <v>12</v>
      </c>
      <c r="N1" s="3" t="s">
        <v>13</v>
      </c>
      <c r="O1" s="3" t="s">
        <v>14</v>
      </c>
      <c r="P1" s="72" t="s">
        <v>15</v>
      </c>
      <c r="Q1" s="72" t="s">
        <v>16</v>
      </c>
      <c r="R1" s="4" t="s">
        <v>17</v>
      </c>
      <c r="S1" s="4" t="s">
        <v>18</v>
      </c>
      <c r="T1" s="4" t="s">
        <v>19</v>
      </c>
      <c r="U1" s="4" t="s">
        <v>20</v>
      </c>
      <c r="V1" s="5" t="s">
        <v>21</v>
      </c>
      <c r="W1" s="5" t="s">
        <v>22</v>
      </c>
      <c r="X1" s="5" t="s">
        <v>23</v>
      </c>
      <c r="Y1" s="5" t="s">
        <v>24</v>
      </c>
      <c r="Z1" s="5" t="s">
        <v>25</v>
      </c>
      <c r="AA1" s="5" t="s">
        <v>26</v>
      </c>
      <c r="AB1" s="6" t="s">
        <v>27</v>
      </c>
    </row>
    <row r="2" spans="1:28" ht="136.5" x14ac:dyDescent="0.25">
      <c r="A2" s="7">
        <v>1</v>
      </c>
      <c r="B2" s="8">
        <v>2021</v>
      </c>
      <c r="C2" s="8" t="s">
        <v>28</v>
      </c>
      <c r="D2" s="7" t="s">
        <v>29</v>
      </c>
      <c r="E2" s="9" t="s">
        <v>30</v>
      </c>
      <c r="F2" s="9" t="s">
        <v>31</v>
      </c>
      <c r="G2" s="9" t="s">
        <v>32</v>
      </c>
      <c r="H2" s="10">
        <v>0.96299999999999997</v>
      </c>
      <c r="I2" s="10">
        <f>AA2/Z2</f>
        <v>0.89976426614226335</v>
      </c>
      <c r="J2" s="9" t="s">
        <v>33</v>
      </c>
      <c r="K2" s="9" t="s">
        <v>34</v>
      </c>
      <c r="L2" s="11" t="s">
        <v>35</v>
      </c>
      <c r="M2" s="12">
        <v>244292</v>
      </c>
      <c r="N2" s="12">
        <v>13792687</v>
      </c>
      <c r="O2" s="9" t="s">
        <v>36</v>
      </c>
      <c r="P2" s="73">
        <v>15.579159300000001</v>
      </c>
      <c r="Q2" s="73">
        <v>-89.976387500000001</v>
      </c>
      <c r="R2" s="14">
        <v>44355</v>
      </c>
      <c r="S2" s="14">
        <v>44683</v>
      </c>
      <c r="T2" s="12">
        <v>180</v>
      </c>
      <c r="U2" s="12">
        <v>120</v>
      </c>
      <c r="V2" s="15" t="s">
        <v>37</v>
      </c>
      <c r="W2" s="15" t="s">
        <v>38</v>
      </c>
      <c r="X2" s="16">
        <v>5339279.51</v>
      </c>
      <c r="Y2" s="16">
        <v>927877.08</v>
      </c>
      <c r="Z2" s="16">
        <f t="shared" ref="Z2:Z3" si="0">+X2+Y2</f>
        <v>6267156.5899999999</v>
      </c>
      <c r="AA2" s="16">
        <v>5638963.5499999998</v>
      </c>
      <c r="AB2" s="17">
        <f>Z2-AA2</f>
        <v>628193.04</v>
      </c>
    </row>
    <row r="3" spans="1:28" ht="234" x14ac:dyDescent="0.25">
      <c r="A3" s="7">
        <v>2</v>
      </c>
      <c r="B3" s="8">
        <v>2023</v>
      </c>
      <c r="C3" s="8" t="s">
        <v>39</v>
      </c>
      <c r="D3" s="7" t="s">
        <v>29</v>
      </c>
      <c r="E3" s="9" t="s">
        <v>40</v>
      </c>
      <c r="F3" s="9" t="s">
        <v>41</v>
      </c>
      <c r="G3" s="9" t="s">
        <v>32</v>
      </c>
      <c r="H3" s="10">
        <v>0.59140000000000004</v>
      </c>
      <c r="I3" s="10">
        <f>AA3/Z3</f>
        <v>0.46769331317938484</v>
      </c>
      <c r="J3" s="9" t="s">
        <v>42</v>
      </c>
      <c r="K3" s="9" t="s">
        <v>43</v>
      </c>
      <c r="L3" s="11" t="s">
        <v>35</v>
      </c>
      <c r="M3" s="9">
        <v>301206</v>
      </c>
      <c r="N3" s="12">
        <v>19120087</v>
      </c>
      <c r="O3" s="9" t="s">
        <v>44</v>
      </c>
      <c r="P3" s="73">
        <v>15.4598551</v>
      </c>
      <c r="Q3" s="73">
        <v>-90.397120799999996</v>
      </c>
      <c r="R3" s="14">
        <v>45173</v>
      </c>
      <c r="S3" s="14">
        <v>46228</v>
      </c>
      <c r="T3" s="12">
        <v>240</v>
      </c>
      <c r="U3" s="12">
        <v>240</v>
      </c>
      <c r="V3" s="15" t="s">
        <v>45</v>
      </c>
      <c r="W3" s="15" t="s">
        <v>46</v>
      </c>
      <c r="X3" s="16">
        <v>9034523.7400000002</v>
      </c>
      <c r="Y3" s="16">
        <f>-576930.48+575268.92+664665.2</f>
        <v>663003.64</v>
      </c>
      <c r="Z3" s="16">
        <f t="shared" si="0"/>
        <v>9697527.3800000008</v>
      </c>
      <c r="AA3" s="16">
        <v>4535468.71</v>
      </c>
      <c r="AB3" s="17">
        <f t="shared" ref="AB3:AB66" si="1">Z3-AA3</f>
        <v>5162058.6700000009</v>
      </c>
    </row>
    <row r="4" spans="1:28" ht="156" x14ac:dyDescent="0.25">
      <c r="A4" s="7">
        <v>3</v>
      </c>
      <c r="B4" s="8">
        <v>2021</v>
      </c>
      <c r="C4" s="8" t="s">
        <v>28</v>
      </c>
      <c r="D4" s="7" t="s">
        <v>29</v>
      </c>
      <c r="E4" s="9" t="s">
        <v>47</v>
      </c>
      <c r="F4" s="9" t="s">
        <v>48</v>
      </c>
      <c r="G4" s="9" t="s">
        <v>49</v>
      </c>
      <c r="H4" s="10">
        <v>0.99690000000000001</v>
      </c>
      <c r="I4" s="10">
        <f>AA4/Z4</f>
        <v>0.88347050338268074</v>
      </c>
      <c r="J4" s="9" t="s">
        <v>50</v>
      </c>
      <c r="K4" s="9" t="s">
        <v>51</v>
      </c>
      <c r="L4" s="11" t="s">
        <v>52</v>
      </c>
      <c r="M4" s="12">
        <v>244304</v>
      </c>
      <c r="N4" s="12">
        <v>13391623</v>
      </c>
      <c r="O4" s="9" t="s">
        <v>53</v>
      </c>
      <c r="P4" s="73">
        <v>14.616725499999999</v>
      </c>
      <c r="Q4" s="73">
        <v>-89.621947899999995</v>
      </c>
      <c r="R4" s="14">
        <v>44356</v>
      </c>
      <c r="S4" s="14">
        <v>45915</v>
      </c>
      <c r="T4" s="12">
        <v>305</v>
      </c>
      <c r="U4" s="12">
        <v>180</v>
      </c>
      <c r="V4" s="15" t="s">
        <v>54</v>
      </c>
      <c r="W4" s="15" t="s">
        <v>55</v>
      </c>
      <c r="X4" s="16">
        <v>5383314.7400000002</v>
      </c>
      <c r="Y4" s="16">
        <f>950187.55-373238.71+348781.51+140636.68</f>
        <v>1066367.03</v>
      </c>
      <c r="Z4" s="18">
        <f>+X4+Y4</f>
        <v>6449681.7700000005</v>
      </c>
      <c r="AA4" s="16">
        <v>5698103.5999999996</v>
      </c>
      <c r="AB4" s="17">
        <f t="shared" si="1"/>
        <v>751578.17000000086</v>
      </c>
    </row>
    <row r="5" spans="1:28" ht="234" x14ac:dyDescent="0.25">
      <c r="A5" s="7">
        <v>4</v>
      </c>
      <c r="B5" s="8">
        <v>2022</v>
      </c>
      <c r="C5" s="8" t="s">
        <v>56</v>
      </c>
      <c r="D5" s="7" t="s">
        <v>29</v>
      </c>
      <c r="E5" s="9" t="s">
        <v>57</v>
      </c>
      <c r="F5" s="9" t="s">
        <v>58</v>
      </c>
      <c r="G5" s="9" t="s">
        <v>49</v>
      </c>
      <c r="H5" s="10">
        <v>0.99399999999999999</v>
      </c>
      <c r="I5" s="10">
        <f>AA5/Z5</f>
        <v>0.89675761447394231</v>
      </c>
      <c r="J5" s="19" t="s">
        <v>59</v>
      </c>
      <c r="K5" s="19" t="s">
        <v>60</v>
      </c>
      <c r="L5" s="11" t="s">
        <v>61</v>
      </c>
      <c r="M5" s="12">
        <v>279052</v>
      </c>
      <c r="N5" s="12">
        <v>16866495</v>
      </c>
      <c r="O5" s="9" t="s">
        <v>62</v>
      </c>
      <c r="P5" s="73">
        <v>14.5636609</v>
      </c>
      <c r="Q5" s="73">
        <v>-89.337200699999997</v>
      </c>
      <c r="R5" s="14">
        <v>44775</v>
      </c>
      <c r="S5" s="20" t="s">
        <v>63</v>
      </c>
      <c r="T5" s="12">
        <v>240</v>
      </c>
      <c r="U5" s="12">
        <v>240</v>
      </c>
      <c r="V5" s="15" t="s">
        <v>64</v>
      </c>
      <c r="W5" s="15" t="s">
        <v>65</v>
      </c>
      <c r="X5" s="16">
        <v>53100000</v>
      </c>
      <c r="Y5" s="16">
        <v>21190177.73</v>
      </c>
      <c r="Z5" s="18">
        <f t="shared" ref="Z5:Z6" si="2">+X5+Y5</f>
        <v>74290177.730000004</v>
      </c>
      <c r="AA5" s="16">
        <v>66620282.560000002</v>
      </c>
      <c r="AB5" s="17">
        <f t="shared" si="1"/>
        <v>7669895.1700000018</v>
      </c>
    </row>
    <row r="6" spans="1:28" ht="156" x14ac:dyDescent="0.25">
      <c r="A6" s="7">
        <v>5</v>
      </c>
      <c r="B6" s="8">
        <v>2022</v>
      </c>
      <c r="C6" s="8" t="s">
        <v>56</v>
      </c>
      <c r="D6" s="7" t="s">
        <v>29</v>
      </c>
      <c r="E6" s="9" t="s">
        <v>66</v>
      </c>
      <c r="F6" s="9" t="s">
        <v>67</v>
      </c>
      <c r="G6" s="9" t="s">
        <v>68</v>
      </c>
      <c r="H6" s="10">
        <v>0.71</v>
      </c>
      <c r="I6" s="10">
        <f>AA6/Z6</f>
        <v>0.89999985376567271</v>
      </c>
      <c r="J6" s="9" t="s">
        <v>69</v>
      </c>
      <c r="K6" s="9" t="s">
        <v>70</v>
      </c>
      <c r="L6" s="11" t="s">
        <v>71</v>
      </c>
      <c r="M6" s="12">
        <v>279061</v>
      </c>
      <c r="N6" s="12">
        <v>15601668</v>
      </c>
      <c r="O6" s="9" t="s">
        <v>72</v>
      </c>
      <c r="P6" s="73">
        <v>14.7658588</v>
      </c>
      <c r="Q6" s="73">
        <v>-90.291815799999995</v>
      </c>
      <c r="R6" s="14">
        <v>44600</v>
      </c>
      <c r="S6" s="14">
        <v>45914</v>
      </c>
      <c r="T6" s="12">
        <v>180</v>
      </c>
      <c r="U6" s="12">
        <v>180</v>
      </c>
      <c r="V6" s="15" t="s">
        <v>73</v>
      </c>
      <c r="W6" s="15" t="s">
        <v>74</v>
      </c>
      <c r="X6" s="16">
        <v>31457609</v>
      </c>
      <c r="Y6" s="16">
        <v>12581298.4</v>
      </c>
      <c r="Z6" s="16">
        <f t="shared" si="2"/>
        <v>44038907.399999999</v>
      </c>
      <c r="AA6" s="16">
        <v>39635010.219999999</v>
      </c>
      <c r="AB6" s="17">
        <f t="shared" si="1"/>
        <v>4403897.18</v>
      </c>
    </row>
    <row r="7" spans="1:28" ht="273" x14ac:dyDescent="0.25">
      <c r="A7" s="7">
        <v>6</v>
      </c>
      <c r="B7" s="8">
        <v>2022</v>
      </c>
      <c r="C7" s="8" t="s">
        <v>56</v>
      </c>
      <c r="D7" s="7" t="s">
        <v>29</v>
      </c>
      <c r="E7" s="21" t="s">
        <v>75</v>
      </c>
      <c r="F7" s="21" t="s">
        <v>76</v>
      </c>
      <c r="G7" s="21" t="s">
        <v>77</v>
      </c>
      <c r="H7" s="22">
        <v>0.3957</v>
      </c>
      <c r="I7" s="22">
        <f t="shared" ref="I7:I70" si="3">AA7/Z7</f>
        <v>0.82999538419420948</v>
      </c>
      <c r="J7" s="21" t="s">
        <v>78</v>
      </c>
      <c r="K7" s="21" t="s">
        <v>79</v>
      </c>
      <c r="L7" s="21" t="s">
        <v>80</v>
      </c>
      <c r="M7" s="23">
        <v>287625</v>
      </c>
      <c r="N7" s="23">
        <v>16866096</v>
      </c>
      <c r="O7" s="21" t="s">
        <v>81</v>
      </c>
      <c r="P7" s="74">
        <v>14.402914900000001</v>
      </c>
      <c r="Q7" s="74">
        <v>-90.715337399999996</v>
      </c>
      <c r="R7" s="24">
        <v>44824</v>
      </c>
      <c r="S7" s="24">
        <v>45033</v>
      </c>
      <c r="T7" s="23">
        <v>210</v>
      </c>
      <c r="U7" s="23">
        <v>210</v>
      </c>
      <c r="V7" s="25" t="s">
        <v>82</v>
      </c>
      <c r="W7" s="25" t="s">
        <v>83</v>
      </c>
      <c r="X7" s="26">
        <v>43515472.200000003</v>
      </c>
      <c r="Y7" s="26">
        <v>3669766.93</v>
      </c>
      <c r="Z7" s="26">
        <v>47185239.130000003</v>
      </c>
      <c r="AA7" s="26">
        <v>39163530.68</v>
      </c>
      <c r="AB7" s="27">
        <f t="shared" si="1"/>
        <v>8021708.450000003</v>
      </c>
    </row>
    <row r="8" spans="1:28" ht="409.5" x14ac:dyDescent="0.25">
      <c r="A8" s="7">
        <v>7</v>
      </c>
      <c r="B8" s="8">
        <v>2022</v>
      </c>
      <c r="C8" s="8" t="s">
        <v>56</v>
      </c>
      <c r="D8" s="7" t="s">
        <v>29</v>
      </c>
      <c r="E8" s="21" t="s">
        <v>84</v>
      </c>
      <c r="F8" s="21" t="s">
        <v>85</v>
      </c>
      <c r="G8" s="21" t="s">
        <v>77</v>
      </c>
      <c r="H8" s="22">
        <v>0.83</v>
      </c>
      <c r="I8" s="22">
        <f t="shared" si="3"/>
        <v>0.85419127117527049</v>
      </c>
      <c r="J8" s="21" t="s">
        <v>86</v>
      </c>
      <c r="K8" s="21" t="s">
        <v>87</v>
      </c>
      <c r="L8" s="21" t="s">
        <v>80</v>
      </c>
      <c r="M8" s="23">
        <v>299129</v>
      </c>
      <c r="N8" s="23">
        <v>17377447</v>
      </c>
      <c r="O8" s="21" t="s">
        <v>88</v>
      </c>
      <c r="P8" s="74">
        <v>14.3309</v>
      </c>
      <c r="Q8" s="74">
        <v>-91.212999999999994</v>
      </c>
      <c r="R8" s="24">
        <v>44848</v>
      </c>
      <c r="S8" s="24">
        <v>45027</v>
      </c>
      <c r="T8" s="23">
        <v>180</v>
      </c>
      <c r="U8" s="23">
        <v>180</v>
      </c>
      <c r="V8" s="25" t="s">
        <v>89</v>
      </c>
      <c r="W8" s="25" t="s">
        <v>90</v>
      </c>
      <c r="X8" s="26">
        <v>32649867.219999999</v>
      </c>
      <c r="Y8" s="26">
        <v>6529969.3099999996</v>
      </c>
      <c r="Z8" s="26">
        <f t="shared" ref="Z8" si="4">+X8+Y8</f>
        <v>39179836.530000001</v>
      </c>
      <c r="AA8" s="26">
        <v>33467074.370000001</v>
      </c>
      <c r="AB8" s="27">
        <f t="shared" si="1"/>
        <v>5712762.1600000001</v>
      </c>
    </row>
    <row r="9" spans="1:28" ht="273" x14ac:dyDescent="0.25">
      <c r="A9" s="7">
        <v>8</v>
      </c>
      <c r="B9" s="8">
        <v>2023</v>
      </c>
      <c r="C9" s="8" t="s">
        <v>56</v>
      </c>
      <c r="D9" s="7" t="s">
        <v>29</v>
      </c>
      <c r="E9" s="9" t="s">
        <v>91</v>
      </c>
      <c r="F9" s="9" t="s">
        <v>92</v>
      </c>
      <c r="G9" s="9" t="s">
        <v>93</v>
      </c>
      <c r="H9" s="10">
        <v>0.73640000000000005</v>
      </c>
      <c r="I9" s="10">
        <f>AA9/Z9</f>
        <v>0.6615959433287748</v>
      </c>
      <c r="J9" s="19" t="s">
        <v>94</v>
      </c>
      <c r="K9" s="19" t="s">
        <v>95</v>
      </c>
      <c r="L9" s="11" t="s">
        <v>96</v>
      </c>
      <c r="M9" s="12">
        <v>300722</v>
      </c>
      <c r="N9" s="12">
        <v>19582900</v>
      </c>
      <c r="O9" s="9" t="s">
        <v>97</v>
      </c>
      <c r="P9" s="73">
        <v>14.537479899999999</v>
      </c>
      <c r="Q9" s="73">
        <v>-90.636207299999995</v>
      </c>
      <c r="R9" s="28">
        <v>45107</v>
      </c>
      <c r="S9" s="28">
        <v>45346</v>
      </c>
      <c r="T9" s="29">
        <v>240</v>
      </c>
      <c r="U9" s="29">
        <v>240</v>
      </c>
      <c r="V9" s="15" t="s">
        <v>98</v>
      </c>
      <c r="W9" s="15" t="s">
        <v>99</v>
      </c>
      <c r="X9" s="16">
        <v>46796000</v>
      </c>
      <c r="Y9" s="16">
        <v>9358085.7899999991</v>
      </c>
      <c r="Z9" s="18">
        <f>+X9+Y9</f>
        <v>56154085.789999999</v>
      </c>
      <c r="AA9" s="16">
        <v>37151315.359999999</v>
      </c>
      <c r="AB9" s="17">
        <f t="shared" si="1"/>
        <v>19002770.43</v>
      </c>
    </row>
    <row r="10" spans="1:28" ht="253.5" x14ac:dyDescent="0.25">
      <c r="A10" s="7">
        <v>9</v>
      </c>
      <c r="B10" s="8">
        <v>2023</v>
      </c>
      <c r="C10" s="8" t="s">
        <v>100</v>
      </c>
      <c r="D10" s="7" t="s">
        <v>29</v>
      </c>
      <c r="E10" s="21" t="s">
        <v>101</v>
      </c>
      <c r="F10" s="21" t="s">
        <v>102</v>
      </c>
      <c r="G10" s="21" t="s">
        <v>93</v>
      </c>
      <c r="H10" s="22">
        <v>0.59450000000000003</v>
      </c>
      <c r="I10" s="22">
        <f>AA10/Z10</f>
        <v>0.75791611230566414</v>
      </c>
      <c r="J10" s="21" t="s">
        <v>103</v>
      </c>
      <c r="K10" s="21" t="s">
        <v>104</v>
      </c>
      <c r="L10" s="21" t="s">
        <v>105</v>
      </c>
      <c r="M10" s="21">
        <v>316456</v>
      </c>
      <c r="N10" s="23">
        <v>20927622</v>
      </c>
      <c r="O10" s="21" t="s">
        <v>106</v>
      </c>
      <c r="P10" s="74">
        <v>14.5742718</v>
      </c>
      <c r="Q10" s="74">
        <v>-90.527205800000004</v>
      </c>
      <c r="R10" s="24">
        <v>45217</v>
      </c>
      <c r="S10" s="24">
        <v>45366</v>
      </c>
      <c r="T10" s="23">
        <v>150</v>
      </c>
      <c r="U10" s="23">
        <v>0</v>
      </c>
      <c r="V10" s="25" t="s">
        <v>107</v>
      </c>
      <c r="W10" s="25" t="s">
        <v>108</v>
      </c>
      <c r="X10" s="26">
        <v>716350</v>
      </c>
      <c r="Y10" s="26">
        <v>-3870.53</v>
      </c>
      <c r="Z10" s="26">
        <f t="shared" ref="Z10:Z13" si="5">+X10+Y10</f>
        <v>712479.47</v>
      </c>
      <c r="AA10" s="26">
        <v>539999.67000000004</v>
      </c>
      <c r="AB10" s="27">
        <f t="shared" si="1"/>
        <v>172479.79999999993</v>
      </c>
    </row>
    <row r="11" spans="1:28" ht="273" x14ac:dyDescent="0.25">
      <c r="A11" s="7">
        <v>10</v>
      </c>
      <c r="B11" s="8">
        <v>2021</v>
      </c>
      <c r="C11" s="8" t="s">
        <v>28</v>
      </c>
      <c r="D11" s="7" t="s">
        <v>29</v>
      </c>
      <c r="E11" s="21" t="s">
        <v>109</v>
      </c>
      <c r="F11" s="21" t="s">
        <v>110</v>
      </c>
      <c r="G11" s="21" t="s">
        <v>111</v>
      </c>
      <c r="H11" s="22">
        <v>0.38629999999999998</v>
      </c>
      <c r="I11" s="22">
        <f t="shared" si="3"/>
        <v>0.89997510686733873</v>
      </c>
      <c r="J11" s="21" t="s">
        <v>112</v>
      </c>
      <c r="K11" s="21" t="s">
        <v>113</v>
      </c>
      <c r="L11" s="21" t="s">
        <v>105</v>
      </c>
      <c r="M11" s="23">
        <v>61755</v>
      </c>
      <c r="N11" s="23">
        <v>14193620</v>
      </c>
      <c r="O11" s="21" t="s">
        <v>114</v>
      </c>
      <c r="P11" s="74">
        <v>15.491871099999999</v>
      </c>
      <c r="Q11" s="74">
        <v>-91.757156199999997</v>
      </c>
      <c r="R11" s="24">
        <v>44411</v>
      </c>
      <c r="S11" s="24">
        <v>44650</v>
      </c>
      <c r="T11" s="23">
        <v>240</v>
      </c>
      <c r="U11" s="23">
        <v>240</v>
      </c>
      <c r="V11" s="25" t="s">
        <v>115</v>
      </c>
      <c r="W11" s="25" t="s">
        <v>116</v>
      </c>
      <c r="X11" s="26">
        <v>72814335.840000004</v>
      </c>
      <c r="Y11" s="26">
        <v>14561609.550000001</v>
      </c>
      <c r="Z11" s="26">
        <f t="shared" si="5"/>
        <v>87375945.390000001</v>
      </c>
      <c r="AA11" s="27">
        <v>78636175.790000007</v>
      </c>
      <c r="AB11" s="27">
        <f t="shared" si="1"/>
        <v>8739769.599999994</v>
      </c>
    </row>
    <row r="12" spans="1:28" ht="253.5" x14ac:dyDescent="0.25">
      <c r="A12" s="7">
        <v>11</v>
      </c>
      <c r="B12" s="8">
        <v>2023</v>
      </c>
      <c r="C12" s="8" t="s">
        <v>39</v>
      </c>
      <c r="D12" s="7" t="s">
        <v>29</v>
      </c>
      <c r="E12" s="9" t="s">
        <v>117</v>
      </c>
      <c r="F12" s="9" t="s">
        <v>111</v>
      </c>
      <c r="G12" s="9" t="s">
        <v>111</v>
      </c>
      <c r="H12" s="10">
        <v>0.1145</v>
      </c>
      <c r="I12" s="10">
        <f t="shared" si="3"/>
        <v>0.44163994444444443</v>
      </c>
      <c r="J12" s="9" t="s">
        <v>118</v>
      </c>
      <c r="K12" s="9" t="s">
        <v>119</v>
      </c>
      <c r="L12" s="11" t="s">
        <v>120</v>
      </c>
      <c r="M12" s="12">
        <v>301210</v>
      </c>
      <c r="N12" s="12">
        <v>19098901</v>
      </c>
      <c r="O12" s="9" t="s">
        <v>121</v>
      </c>
      <c r="P12" s="73">
        <v>15.321685</v>
      </c>
      <c r="Q12" s="73">
        <v>-91.484628999999998</v>
      </c>
      <c r="R12" s="14">
        <v>45173</v>
      </c>
      <c r="S12" s="14">
        <v>45352</v>
      </c>
      <c r="T12" s="12">
        <v>180</v>
      </c>
      <c r="U12" s="12">
        <v>0</v>
      </c>
      <c r="V12" s="15" t="s">
        <v>115</v>
      </c>
      <c r="W12" s="15" t="s">
        <v>116</v>
      </c>
      <c r="X12" s="16">
        <v>4500000</v>
      </c>
      <c r="Y12" s="16">
        <v>0</v>
      </c>
      <c r="Z12" s="18">
        <f t="shared" si="5"/>
        <v>4500000</v>
      </c>
      <c r="AA12" s="16">
        <v>1987379.75</v>
      </c>
      <c r="AB12" s="17">
        <f t="shared" si="1"/>
        <v>2512620.25</v>
      </c>
    </row>
    <row r="13" spans="1:28" ht="356.25" x14ac:dyDescent="0.25">
      <c r="A13" s="7">
        <v>12</v>
      </c>
      <c r="B13" s="8">
        <v>2023</v>
      </c>
      <c r="C13" s="8" t="s">
        <v>56</v>
      </c>
      <c r="D13" s="7" t="s">
        <v>29</v>
      </c>
      <c r="E13" s="9" t="s">
        <v>122</v>
      </c>
      <c r="F13" s="9" t="s">
        <v>123</v>
      </c>
      <c r="G13" s="9" t="s">
        <v>124</v>
      </c>
      <c r="H13" s="10">
        <v>0.31540000000000001</v>
      </c>
      <c r="I13" s="10">
        <f t="shared" si="3"/>
        <v>0.30416543465619589</v>
      </c>
      <c r="J13" s="19" t="s">
        <v>125</v>
      </c>
      <c r="K13" s="30" t="s">
        <v>126</v>
      </c>
      <c r="L13" s="11" t="s">
        <v>127</v>
      </c>
      <c r="M13" s="12">
        <v>279064</v>
      </c>
      <c r="N13" s="12">
        <v>17786169</v>
      </c>
      <c r="O13" s="9" t="s">
        <v>128</v>
      </c>
      <c r="P13" s="73">
        <v>15.450245499999999</v>
      </c>
      <c r="Q13" s="73">
        <v>-88.861024799999996</v>
      </c>
      <c r="R13" s="14">
        <v>44944</v>
      </c>
      <c r="S13" s="14">
        <v>45183</v>
      </c>
      <c r="T13" s="12">
        <v>240</v>
      </c>
      <c r="U13" s="12">
        <v>240</v>
      </c>
      <c r="V13" s="15" t="s">
        <v>129</v>
      </c>
      <c r="W13" s="15" t="s">
        <v>130</v>
      </c>
      <c r="X13" s="16">
        <v>46819811.210000001</v>
      </c>
      <c r="Y13" s="16">
        <v>7888293.9000000004</v>
      </c>
      <c r="Z13" s="18">
        <f t="shared" si="5"/>
        <v>54708105.109999999</v>
      </c>
      <c r="AA13" s="16">
        <v>16640314.57</v>
      </c>
      <c r="AB13" s="17">
        <f t="shared" si="1"/>
        <v>38067790.539999999</v>
      </c>
    </row>
    <row r="14" spans="1:28" ht="318.75" x14ac:dyDescent="0.25">
      <c r="A14" s="7">
        <v>13</v>
      </c>
      <c r="B14" s="8">
        <v>2024</v>
      </c>
      <c r="C14" s="8" t="s">
        <v>131</v>
      </c>
      <c r="D14" s="7" t="s">
        <v>29</v>
      </c>
      <c r="E14" s="9" t="s">
        <v>132</v>
      </c>
      <c r="F14" s="9" t="s">
        <v>133</v>
      </c>
      <c r="G14" s="9" t="s">
        <v>124</v>
      </c>
      <c r="H14" s="10">
        <v>0.04</v>
      </c>
      <c r="I14" s="10">
        <f t="shared" si="3"/>
        <v>8.0918831444487405E-3</v>
      </c>
      <c r="J14" s="9" t="s">
        <v>42</v>
      </c>
      <c r="K14" s="31" t="s">
        <v>134</v>
      </c>
      <c r="L14" s="11" t="s">
        <v>127</v>
      </c>
      <c r="M14" s="9">
        <v>297188</v>
      </c>
      <c r="N14" s="12">
        <v>19938462</v>
      </c>
      <c r="O14" s="9" t="s">
        <v>135</v>
      </c>
      <c r="P14" s="73">
        <v>15.737015899999999</v>
      </c>
      <c r="Q14" s="73">
        <v>-88.597672599999996</v>
      </c>
      <c r="R14" s="14">
        <v>45296</v>
      </c>
      <c r="S14" s="14">
        <v>46118</v>
      </c>
      <c r="T14" s="12">
        <v>270</v>
      </c>
      <c r="U14" s="12">
        <v>0</v>
      </c>
      <c r="V14" s="15" t="s">
        <v>136</v>
      </c>
      <c r="W14" s="15" t="s">
        <v>137</v>
      </c>
      <c r="X14" s="16">
        <v>37000000</v>
      </c>
      <c r="Y14" s="16">
        <f>-14185854+2121030+18318043.77</f>
        <v>6253219.7699999996</v>
      </c>
      <c r="Z14" s="16">
        <f>+X14+Y14</f>
        <v>43253219.769999996</v>
      </c>
      <c r="AA14" s="16">
        <v>350000</v>
      </c>
      <c r="AB14" s="17">
        <f t="shared" si="1"/>
        <v>42903219.769999996</v>
      </c>
    </row>
    <row r="15" spans="1:28" ht="337.5" x14ac:dyDescent="0.25">
      <c r="A15" s="7">
        <v>14</v>
      </c>
      <c r="B15" s="8">
        <v>2024</v>
      </c>
      <c r="C15" s="8" t="s">
        <v>56</v>
      </c>
      <c r="D15" s="7" t="s">
        <v>29</v>
      </c>
      <c r="E15" s="9" t="s">
        <v>138</v>
      </c>
      <c r="F15" s="9" t="s">
        <v>139</v>
      </c>
      <c r="G15" s="9" t="s">
        <v>140</v>
      </c>
      <c r="H15" s="10">
        <v>0.40379999999999999</v>
      </c>
      <c r="I15" s="10">
        <f t="shared" si="3"/>
        <v>0.32519701468347895</v>
      </c>
      <c r="J15" s="19" t="s">
        <v>141</v>
      </c>
      <c r="K15" s="30" t="s">
        <v>142</v>
      </c>
      <c r="L15" s="11" t="s">
        <v>71</v>
      </c>
      <c r="M15" s="9">
        <v>279057</v>
      </c>
      <c r="N15" s="12">
        <v>19608780</v>
      </c>
      <c r="O15" s="9" t="s">
        <v>143</v>
      </c>
      <c r="P15" s="73">
        <v>13.871774500000001</v>
      </c>
      <c r="Q15" s="73">
        <v>-90.096409199999997</v>
      </c>
      <c r="R15" s="14">
        <v>45296</v>
      </c>
      <c r="S15" s="14">
        <v>46407</v>
      </c>
      <c r="T15" s="12">
        <v>365</v>
      </c>
      <c r="U15" s="12">
        <v>365</v>
      </c>
      <c r="V15" s="15" t="s">
        <v>144</v>
      </c>
      <c r="W15" s="15" t="s">
        <v>145</v>
      </c>
      <c r="X15" s="16">
        <v>47425614</v>
      </c>
      <c r="Y15" s="16">
        <f>-2159191.74+6551966.89+4616563.6-1600100.2+1597267.4</f>
        <v>9006505.9499999993</v>
      </c>
      <c r="Z15" s="16">
        <f t="shared" ref="Z15:Z17" si="6">+X15+Y15</f>
        <v>56432119.950000003</v>
      </c>
      <c r="AA15" s="18">
        <v>18351556.939999998</v>
      </c>
      <c r="AB15" s="17">
        <f t="shared" si="1"/>
        <v>38080563.010000005</v>
      </c>
    </row>
    <row r="16" spans="1:28" ht="273" x14ac:dyDescent="0.25">
      <c r="A16" s="7">
        <v>15</v>
      </c>
      <c r="B16" s="8">
        <v>2022</v>
      </c>
      <c r="C16" s="8" t="s">
        <v>56</v>
      </c>
      <c r="D16" s="7" t="s">
        <v>29</v>
      </c>
      <c r="E16" s="9" t="s">
        <v>146</v>
      </c>
      <c r="F16" s="9" t="s">
        <v>147</v>
      </c>
      <c r="G16" s="9" t="s">
        <v>148</v>
      </c>
      <c r="H16" s="10">
        <v>0.99750000000000005</v>
      </c>
      <c r="I16" s="10">
        <f t="shared" si="3"/>
        <v>0.89984696172358702</v>
      </c>
      <c r="J16" s="19" t="s">
        <v>149</v>
      </c>
      <c r="K16" s="32" t="s">
        <v>150</v>
      </c>
      <c r="L16" s="11" t="s">
        <v>127</v>
      </c>
      <c r="M16" s="12">
        <v>279063</v>
      </c>
      <c r="N16" s="12">
        <v>16834496</v>
      </c>
      <c r="O16" s="9" t="s">
        <v>151</v>
      </c>
      <c r="P16" s="73">
        <v>16.7967154</v>
      </c>
      <c r="Q16" s="73">
        <v>-90.096540599999997</v>
      </c>
      <c r="R16" s="14">
        <v>44790</v>
      </c>
      <c r="S16" s="14">
        <v>45029</v>
      </c>
      <c r="T16" s="12">
        <v>240</v>
      </c>
      <c r="U16" s="12">
        <v>240</v>
      </c>
      <c r="V16" s="15" t="s">
        <v>152</v>
      </c>
      <c r="W16" s="15" t="s">
        <v>153</v>
      </c>
      <c r="X16" s="16">
        <v>44900000</v>
      </c>
      <c r="Y16" s="16">
        <f>-262797+2203215.5+6427429.5-1457155+1489583.65-69480+448960+171750-6216649.2+6211649.5-333900+333450-1904398.16+975633.09+9662581.76</f>
        <v>17679873.640000001</v>
      </c>
      <c r="Z16" s="18">
        <f t="shared" si="6"/>
        <v>62579873.640000001</v>
      </c>
      <c r="AA16" s="16">
        <v>56312309.159999996</v>
      </c>
      <c r="AB16" s="17">
        <f t="shared" si="1"/>
        <v>6267564.4800000042</v>
      </c>
    </row>
    <row r="17" spans="1:28" ht="356.25" x14ac:dyDescent="0.25">
      <c r="A17" s="7">
        <v>16</v>
      </c>
      <c r="B17" s="8">
        <v>2023</v>
      </c>
      <c r="C17" s="8" t="s">
        <v>28</v>
      </c>
      <c r="D17" s="7" t="s">
        <v>29</v>
      </c>
      <c r="E17" s="9" t="s">
        <v>154</v>
      </c>
      <c r="F17" s="9" t="s">
        <v>155</v>
      </c>
      <c r="G17" s="9" t="s">
        <v>148</v>
      </c>
      <c r="H17" s="10">
        <v>0.15129999999999999</v>
      </c>
      <c r="I17" s="10">
        <f t="shared" si="3"/>
        <v>0.15139813439393937</v>
      </c>
      <c r="J17" s="19" t="s">
        <v>156</v>
      </c>
      <c r="K17" s="30" t="s">
        <v>157</v>
      </c>
      <c r="L17" s="11" t="s">
        <v>127</v>
      </c>
      <c r="M17" s="12">
        <v>299508</v>
      </c>
      <c r="N17" s="12">
        <v>18524206</v>
      </c>
      <c r="O17" s="9" t="s">
        <v>158</v>
      </c>
      <c r="P17" s="73">
        <v>16.929711999999999</v>
      </c>
      <c r="Q17" s="73">
        <v>-89.955291099999997</v>
      </c>
      <c r="R17" s="14">
        <v>45037</v>
      </c>
      <c r="S17" s="14">
        <v>45341</v>
      </c>
      <c r="T17" s="12">
        <v>365</v>
      </c>
      <c r="U17" s="12">
        <v>0</v>
      </c>
      <c r="V17" s="15" t="s">
        <v>159</v>
      </c>
      <c r="W17" s="15" t="s">
        <v>160</v>
      </c>
      <c r="X17" s="16">
        <v>264000000</v>
      </c>
      <c r="Y17" s="16">
        <v>0</v>
      </c>
      <c r="Z17" s="18">
        <f t="shared" si="6"/>
        <v>264000000</v>
      </c>
      <c r="AA17" s="16">
        <v>39969107.479999997</v>
      </c>
      <c r="AB17" s="17">
        <f t="shared" si="1"/>
        <v>224030892.52000001</v>
      </c>
    </row>
    <row r="18" spans="1:28" ht="337.5" x14ac:dyDescent="0.25">
      <c r="A18" s="7">
        <v>17</v>
      </c>
      <c r="B18" s="8">
        <v>2024</v>
      </c>
      <c r="C18" s="8" t="s">
        <v>56</v>
      </c>
      <c r="D18" s="7" t="s">
        <v>29</v>
      </c>
      <c r="E18" s="9" t="s">
        <v>161</v>
      </c>
      <c r="F18" s="9" t="s">
        <v>162</v>
      </c>
      <c r="G18" s="9" t="s">
        <v>148</v>
      </c>
      <c r="H18" s="10">
        <v>0.71679999999999999</v>
      </c>
      <c r="I18" s="10">
        <f t="shared" si="3"/>
        <v>0.51739084415005343</v>
      </c>
      <c r="J18" s="9" t="s">
        <v>163</v>
      </c>
      <c r="K18" s="31" t="s">
        <v>164</v>
      </c>
      <c r="L18" s="11" t="s">
        <v>96</v>
      </c>
      <c r="M18" s="9">
        <v>225683</v>
      </c>
      <c r="N18" s="12">
        <v>20163630</v>
      </c>
      <c r="O18" s="9" t="s">
        <v>165</v>
      </c>
      <c r="P18" s="75">
        <v>16.922133599999999</v>
      </c>
      <c r="Q18" s="75">
        <v>-89.895841799999999</v>
      </c>
      <c r="R18" s="14">
        <v>45306</v>
      </c>
      <c r="S18" s="20" t="s">
        <v>166</v>
      </c>
      <c r="T18" s="12">
        <v>255</v>
      </c>
      <c r="U18" s="12">
        <v>255</v>
      </c>
      <c r="V18" s="15" t="s">
        <v>167</v>
      </c>
      <c r="W18" s="15" t="s">
        <v>168</v>
      </c>
      <c r="X18" s="16">
        <v>11593987.35</v>
      </c>
      <c r="Y18" s="16">
        <f>-1906817.25+1783816.47-2115233.25+1803909.72-2115233.25+1030601.55-573500.6+56970.16+2710420.79</f>
        <v>674934.33999999962</v>
      </c>
      <c r="Z18" s="16">
        <f>+X18+Y18</f>
        <v>12268921.689999999</v>
      </c>
      <c r="AA18" s="16">
        <v>6347827.75</v>
      </c>
      <c r="AB18" s="17">
        <f t="shared" si="1"/>
        <v>5921093.9399999995</v>
      </c>
    </row>
    <row r="19" spans="1:28" ht="318.75" x14ac:dyDescent="0.25">
      <c r="A19" s="7">
        <v>18</v>
      </c>
      <c r="B19" s="8">
        <v>2023</v>
      </c>
      <c r="C19" s="8" t="s">
        <v>28</v>
      </c>
      <c r="D19" s="7" t="s">
        <v>29</v>
      </c>
      <c r="E19" s="9" t="s">
        <v>169</v>
      </c>
      <c r="F19" s="9" t="s">
        <v>170</v>
      </c>
      <c r="G19" s="9" t="s">
        <v>171</v>
      </c>
      <c r="H19" s="33">
        <v>0.24579999999999999</v>
      </c>
      <c r="I19" s="10">
        <f t="shared" si="3"/>
        <v>0.23791383466717969</v>
      </c>
      <c r="J19" s="19" t="s">
        <v>172</v>
      </c>
      <c r="K19" s="30" t="s">
        <v>173</v>
      </c>
      <c r="L19" s="11" t="s">
        <v>105</v>
      </c>
      <c r="M19" s="12">
        <v>301366</v>
      </c>
      <c r="N19" s="12">
        <v>18523994</v>
      </c>
      <c r="O19" s="9" t="s">
        <v>174</v>
      </c>
      <c r="P19" s="73">
        <v>14.702806600000001</v>
      </c>
      <c r="Q19" s="73">
        <v>-91.896000900000004</v>
      </c>
      <c r="R19" s="14">
        <v>45040</v>
      </c>
      <c r="S19" s="14">
        <v>45404</v>
      </c>
      <c r="T19" s="12">
        <v>365</v>
      </c>
      <c r="U19" s="12">
        <v>0</v>
      </c>
      <c r="V19" s="15" t="s">
        <v>175</v>
      </c>
      <c r="W19" s="15" t="s">
        <v>176</v>
      </c>
      <c r="X19" s="16">
        <v>259900000</v>
      </c>
      <c r="Y19" s="16">
        <v>0</v>
      </c>
      <c r="Z19" s="18">
        <f t="shared" ref="Z19:Z28" si="7">+X19+Y19</f>
        <v>259900000</v>
      </c>
      <c r="AA19" s="16">
        <v>61833805.630000003</v>
      </c>
      <c r="AB19" s="17">
        <f t="shared" si="1"/>
        <v>198066194.37</v>
      </c>
    </row>
    <row r="20" spans="1:28" ht="300" x14ac:dyDescent="0.25">
      <c r="A20" s="7">
        <v>19</v>
      </c>
      <c r="B20" s="8">
        <v>2023</v>
      </c>
      <c r="C20" s="8" t="s">
        <v>39</v>
      </c>
      <c r="D20" s="7" t="s">
        <v>29</v>
      </c>
      <c r="E20" s="9" t="s">
        <v>177</v>
      </c>
      <c r="F20" s="9" t="s">
        <v>171</v>
      </c>
      <c r="G20" s="9" t="s">
        <v>171</v>
      </c>
      <c r="H20" s="10">
        <v>0.41</v>
      </c>
      <c r="I20" s="10">
        <f t="shared" si="3"/>
        <v>0.33451506897131722</v>
      </c>
      <c r="J20" s="19" t="s">
        <v>178</v>
      </c>
      <c r="K20" s="30" t="s">
        <v>179</v>
      </c>
      <c r="L20" s="11" t="s">
        <v>105</v>
      </c>
      <c r="M20" s="12">
        <v>301209</v>
      </c>
      <c r="N20" s="12">
        <v>19099355</v>
      </c>
      <c r="O20" s="9" t="s">
        <v>180</v>
      </c>
      <c r="P20" s="73">
        <v>14.8550653</v>
      </c>
      <c r="Q20" s="73">
        <v>-91.510258500000006</v>
      </c>
      <c r="R20" s="14">
        <v>45173</v>
      </c>
      <c r="S20" s="20" t="s">
        <v>181</v>
      </c>
      <c r="T20" s="12">
        <v>170</v>
      </c>
      <c r="U20" s="12">
        <v>0</v>
      </c>
      <c r="V20" s="15" t="s">
        <v>182</v>
      </c>
      <c r="W20" s="15" t="s">
        <v>46</v>
      </c>
      <c r="X20" s="16">
        <v>5371876.7199999997</v>
      </c>
      <c r="Y20" s="16">
        <f>-464589.11+1071486.13</f>
        <v>606897.0199999999</v>
      </c>
      <c r="Z20" s="18">
        <f t="shared" si="7"/>
        <v>5978773.7399999993</v>
      </c>
      <c r="AA20" s="16">
        <v>1999989.91</v>
      </c>
      <c r="AB20" s="17">
        <f t="shared" si="1"/>
        <v>3978783.8299999991</v>
      </c>
    </row>
    <row r="21" spans="1:28" ht="195" x14ac:dyDescent="0.25">
      <c r="A21" s="7">
        <v>20</v>
      </c>
      <c r="B21" s="8">
        <v>2020</v>
      </c>
      <c r="C21" s="8" t="s">
        <v>39</v>
      </c>
      <c r="D21" s="7" t="s">
        <v>29</v>
      </c>
      <c r="E21" s="9" t="s">
        <v>183</v>
      </c>
      <c r="F21" s="9" t="s">
        <v>184</v>
      </c>
      <c r="G21" s="9" t="s">
        <v>185</v>
      </c>
      <c r="H21" s="10">
        <v>0.89580000000000004</v>
      </c>
      <c r="I21" s="10">
        <f t="shared" si="3"/>
        <v>0.8957765484913035</v>
      </c>
      <c r="J21" s="9" t="s">
        <v>186</v>
      </c>
      <c r="K21" s="9" t="s">
        <v>187</v>
      </c>
      <c r="L21" s="11" t="s">
        <v>52</v>
      </c>
      <c r="M21" s="12">
        <v>254887</v>
      </c>
      <c r="N21" s="12">
        <v>12454885</v>
      </c>
      <c r="O21" s="9" t="s">
        <v>188</v>
      </c>
      <c r="P21" s="73">
        <v>15.989296</v>
      </c>
      <c r="Q21" s="73">
        <v>-90.778386600000005</v>
      </c>
      <c r="R21" s="14">
        <v>44067</v>
      </c>
      <c r="S21" s="14">
        <v>44186</v>
      </c>
      <c r="T21" s="12">
        <v>120</v>
      </c>
      <c r="U21" s="12">
        <v>75</v>
      </c>
      <c r="V21" s="15" t="s">
        <v>189</v>
      </c>
      <c r="W21" s="15" t="s">
        <v>190</v>
      </c>
      <c r="X21" s="16">
        <v>1098100</v>
      </c>
      <c r="Y21" s="16">
        <v>126225.41</v>
      </c>
      <c r="Z21" s="18">
        <f t="shared" si="7"/>
        <v>1224325.4099999999</v>
      </c>
      <c r="AA21" s="16">
        <v>1096721.99</v>
      </c>
      <c r="AB21" s="17">
        <f t="shared" si="1"/>
        <v>127603.41999999993</v>
      </c>
    </row>
    <row r="22" spans="1:28" ht="234" x14ac:dyDescent="0.25">
      <c r="A22" s="7">
        <v>21</v>
      </c>
      <c r="B22" s="8">
        <v>2022</v>
      </c>
      <c r="C22" s="8" t="s">
        <v>56</v>
      </c>
      <c r="D22" s="7" t="s">
        <v>29</v>
      </c>
      <c r="E22" s="9" t="s">
        <v>191</v>
      </c>
      <c r="F22" s="9" t="s">
        <v>192</v>
      </c>
      <c r="G22" s="9" t="s">
        <v>185</v>
      </c>
      <c r="H22" s="10">
        <v>0.67</v>
      </c>
      <c r="I22" s="10">
        <f t="shared" si="3"/>
        <v>0.96356367082327177</v>
      </c>
      <c r="J22" s="9" t="s">
        <v>69</v>
      </c>
      <c r="K22" s="9" t="s">
        <v>193</v>
      </c>
      <c r="L22" s="11" t="s">
        <v>194</v>
      </c>
      <c r="M22" s="12">
        <v>225705</v>
      </c>
      <c r="N22" s="12">
        <v>15842584</v>
      </c>
      <c r="O22" s="9" t="s">
        <v>195</v>
      </c>
      <c r="P22" s="75">
        <v>15.28</v>
      </c>
      <c r="Q22" s="75">
        <v>-91.144300000000001</v>
      </c>
      <c r="R22" s="14">
        <v>44643</v>
      </c>
      <c r="S22" s="14">
        <v>44762</v>
      </c>
      <c r="T22" s="12">
        <v>120</v>
      </c>
      <c r="U22" s="7">
        <v>120</v>
      </c>
      <c r="V22" s="34" t="s">
        <v>196</v>
      </c>
      <c r="W22" s="15" t="s">
        <v>197</v>
      </c>
      <c r="X22" s="16">
        <v>6511730.1799999997</v>
      </c>
      <c r="Y22" s="16">
        <f>-111653.86+643541.89+133808.85-164404.53+16830+223855.02-113698.29+256632.53+152795.45-64623.7+65121.27</f>
        <v>1038204.6300000001</v>
      </c>
      <c r="Z22" s="16">
        <f t="shared" si="7"/>
        <v>7549934.8099999996</v>
      </c>
      <c r="AA22" s="16">
        <v>7274842.9000000004</v>
      </c>
      <c r="AB22" s="17">
        <f t="shared" si="1"/>
        <v>275091.90999999922</v>
      </c>
    </row>
    <row r="23" spans="1:28" ht="393.75" x14ac:dyDescent="0.25">
      <c r="A23" s="7">
        <v>22</v>
      </c>
      <c r="B23" s="8">
        <v>2022</v>
      </c>
      <c r="C23" s="8" t="s">
        <v>56</v>
      </c>
      <c r="D23" s="7" t="s">
        <v>29</v>
      </c>
      <c r="E23" s="9" t="s">
        <v>198</v>
      </c>
      <c r="F23" s="9" t="s">
        <v>199</v>
      </c>
      <c r="G23" s="9" t="s">
        <v>199</v>
      </c>
      <c r="H23" s="35" t="s">
        <v>200</v>
      </c>
      <c r="I23" s="10">
        <f t="shared" si="3"/>
        <v>0.83149946265238339</v>
      </c>
      <c r="J23" s="9" t="s">
        <v>201</v>
      </c>
      <c r="K23" s="31" t="s">
        <v>202</v>
      </c>
      <c r="L23" s="11" t="s">
        <v>120</v>
      </c>
      <c r="M23" s="12">
        <v>225703</v>
      </c>
      <c r="N23" s="12">
        <v>15834050</v>
      </c>
      <c r="O23" s="9" t="s">
        <v>203</v>
      </c>
      <c r="P23" s="75">
        <v>14.5405</v>
      </c>
      <c r="Q23" s="75">
        <v>-91.672200000000004</v>
      </c>
      <c r="R23" s="14">
        <v>44686</v>
      </c>
      <c r="S23" s="14">
        <v>44805</v>
      </c>
      <c r="T23" s="12">
        <v>120</v>
      </c>
      <c r="U23" s="12">
        <v>120</v>
      </c>
      <c r="V23" s="15" t="s">
        <v>204</v>
      </c>
      <c r="W23" s="15" t="s">
        <v>205</v>
      </c>
      <c r="X23" s="16">
        <v>5539200.5</v>
      </c>
      <c r="Y23" s="16">
        <f>-545250.65+1056735.87+586199-702908.85+482679+229219.96</f>
        <v>1106674.3300000003</v>
      </c>
      <c r="Z23" s="18">
        <f t="shared" si="7"/>
        <v>6645874.8300000001</v>
      </c>
      <c r="AA23" s="16">
        <v>5526041.3499999996</v>
      </c>
      <c r="AB23" s="17">
        <f t="shared" si="1"/>
        <v>1119833.4800000004</v>
      </c>
    </row>
    <row r="24" spans="1:28" ht="234" x14ac:dyDescent="0.25">
      <c r="A24" s="7">
        <v>23</v>
      </c>
      <c r="B24" s="8">
        <v>2022</v>
      </c>
      <c r="C24" s="8" t="s">
        <v>131</v>
      </c>
      <c r="D24" s="7" t="s">
        <v>29</v>
      </c>
      <c r="E24" s="9" t="s">
        <v>206</v>
      </c>
      <c r="F24" s="9" t="s">
        <v>199</v>
      </c>
      <c r="G24" s="9" t="s">
        <v>199</v>
      </c>
      <c r="H24" s="10">
        <v>0.98</v>
      </c>
      <c r="I24" s="10">
        <f t="shared" si="3"/>
        <v>0.8999461061784112</v>
      </c>
      <c r="J24" s="9" t="s">
        <v>207</v>
      </c>
      <c r="K24" s="36" t="s">
        <v>208</v>
      </c>
      <c r="L24" s="11" t="s">
        <v>120</v>
      </c>
      <c r="M24" s="12">
        <v>294250</v>
      </c>
      <c r="N24" s="12">
        <v>16714652</v>
      </c>
      <c r="O24" s="9" t="s">
        <v>209</v>
      </c>
      <c r="P24" s="73">
        <v>14.4884086</v>
      </c>
      <c r="Q24" s="73">
        <v>-92.160963100000004</v>
      </c>
      <c r="R24" s="14">
        <v>44851</v>
      </c>
      <c r="S24" s="14">
        <v>45090</v>
      </c>
      <c r="T24" s="12">
        <v>240</v>
      </c>
      <c r="U24" s="12">
        <v>240</v>
      </c>
      <c r="V24" s="15" t="s">
        <v>210</v>
      </c>
      <c r="W24" s="15" t="s">
        <v>211</v>
      </c>
      <c r="X24" s="16">
        <v>39525280</v>
      </c>
      <c r="Y24" s="16">
        <f>7903517.08-7655131.76+3016761.9+4638311.82</f>
        <v>7903459.040000001</v>
      </c>
      <c r="Z24" s="18">
        <f t="shared" si="7"/>
        <v>47428739.039999999</v>
      </c>
      <c r="AA24" s="16">
        <f>38107023.4+23841.1+4552444.52</f>
        <v>42683309.019999996</v>
      </c>
      <c r="AB24" s="17">
        <f t="shared" si="1"/>
        <v>4745430.0200000033</v>
      </c>
    </row>
    <row r="25" spans="1:28" ht="234" x14ac:dyDescent="0.25">
      <c r="A25" s="7">
        <v>24</v>
      </c>
      <c r="B25" s="8">
        <v>2022</v>
      </c>
      <c r="C25" s="8" t="s">
        <v>56</v>
      </c>
      <c r="D25" s="7" t="s">
        <v>29</v>
      </c>
      <c r="E25" s="21" t="s">
        <v>212</v>
      </c>
      <c r="F25" s="21" t="s">
        <v>213</v>
      </c>
      <c r="G25" s="21" t="s">
        <v>214</v>
      </c>
      <c r="H25" s="22">
        <v>0.7329</v>
      </c>
      <c r="I25" s="22">
        <f t="shared" si="3"/>
        <v>0.81577987967317678</v>
      </c>
      <c r="J25" s="37" t="s">
        <v>215</v>
      </c>
      <c r="K25" s="37" t="s">
        <v>216</v>
      </c>
      <c r="L25" s="21" t="s">
        <v>96</v>
      </c>
      <c r="M25" s="23">
        <v>241817</v>
      </c>
      <c r="N25" s="23">
        <v>16765699</v>
      </c>
      <c r="O25" s="21" t="s">
        <v>217</v>
      </c>
      <c r="P25" s="74">
        <v>14.806900000000001</v>
      </c>
      <c r="Q25" s="74">
        <v>-91.404799999999994</v>
      </c>
      <c r="R25" s="24">
        <v>44918</v>
      </c>
      <c r="S25" s="24">
        <v>45097</v>
      </c>
      <c r="T25" s="23">
        <v>180</v>
      </c>
      <c r="U25" s="23">
        <v>180</v>
      </c>
      <c r="V25" s="25" t="s">
        <v>204</v>
      </c>
      <c r="W25" s="25" t="s">
        <v>205</v>
      </c>
      <c r="X25" s="26">
        <v>7100000</v>
      </c>
      <c r="Y25" s="26">
        <f>-18932.05+690660.29+727733.48-427915.38+29986.71+402587.8-1138737.51+977730.79+175769.46</f>
        <v>1418883.5899999999</v>
      </c>
      <c r="Z25" s="26">
        <f t="shared" si="7"/>
        <v>8518883.5899999999</v>
      </c>
      <c r="AA25" s="26">
        <v>6949533.8300000001</v>
      </c>
      <c r="AB25" s="27">
        <f t="shared" si="1"/>
        <v>1569349.7599999998</v>
      </c>
    </row>
    <row r="26" spans="1:28" ht="337.5" x14ac:dyDescent="0.25">
      <c r="A26" s="7">
        <v>25</v>
      </c>
      <c r="B26" s="8">
        <v>2023</v>
      </c>
      <c r="C26" s="8" t="s">
        <v>56</v>
      </c>
      <c r="D26" s="7" t="s">
        <v>29</v>
      </c>
      <c r="E26" s="21" t="s">
        <v>218</v>
      </c>
      <c r="F26" s="21" t="s">
        <v>219</v>
      </c>
      <c r="G26" s="21" t="s">
        <v>220</v>
      </c>
      <c r="H26" s="22">
        <v>0.98509999999999998</v>
      </c>
      <c r="I26" s="22">
        <f t="shared" si="3"/>
        <v>0.94731551283677107</v>
      </c>
      <c r="J26" s="37" t="s">
        <v>221</v>
      </c>
      <c r="K26" s="38" t="s">
        <v>222</v>
      </c>
      <c r="L26" s="21" t="s">
        <v>120</v>
      </c>
      <c r="M26" s="23">
        <v>284279</v>
      </c>
      <c r="N26" s="23">
        <v>17612187</v>
      </c>
      <c r="O26" s="21" t="s">
        <v>223</v>
      </c>
      <c r="P26" s="74">
        <v>14.5936</v>
      </c>
      <c r="Q26" s="74">
        <v>-91.5291</v>
      </c>
      <c r="R26" s="24">
        <v>44998</v>
      </c>
      <c r="S26" s="24">
        <v>45237</v>
      </c>
      <c r="T26" s="23">
        <v>240</v>
      </c>
      <c r="U26" s="23">
        <v>150</v>
      </c>
      <c r="V26" s="25" t="s">
        <v>224</v>
      </c>
      <c r="W26" s="25" t="s">
        <v>225</v>
      </c>
      <c r="X26" s="26">
        <v>14790000</v>
      </c>
      <c r="Y26" s="26">
        <f>-1540454.58+1540446.69-40481.97+927302.06+2062095.92-2955898.7+1092849.69+975180.12</f>
        <v>2061039.23</v>
      </c>
      <c r="Z26" s="39">
        <f t="shared" si="7"/>
        <v>16851039.23</v>
      </c>
      <c r="AA26" s="26">
        <v>15963250.869999999</v>
      </c>
      <c r="AB26" s="27">
        <f t="shared" si="1"/>
        <v>887788.36000000127</v>
      </c>
    </row>
    <row r="27" spans="1:28" ht="300" x14ac:dyDescent="0.25">
      <c r="A27" s="7">
        <v>26</v>
      </c>
      <c r="B27" s="8">
        <v>2023</v>
      </c>
      <c r="C27" s="8" t="s">
        <v>56</v>
      </c>
      <c r="D27" s="7" t="s">
        <v>29</v>
      </c>
      <c r="E27" s="21" t="s">
        <v>226</v>
      </c>
      <c r="F27" s="21" t="s">
        <v>227</v>
      </c>
      <c r="G27" s="21" t="s">
        <v>220</v>
      </c>
      <c r="H27" s="22">
        <v>0.314</v>
      </c>
      <c r="I27" s="22">
        <f t="shared" si="3"/>
        <v>0.28747657140135274</v>
      </c>
      <c r="J27" s="21" t="s">
        <v>228</v>
      </c>
      <c r="K27" s="38" t="s">
        <v>229</v>
      </c>
      <c r="L27" s="21" t="s">
        <v>120</v>
      </c>
      <c r="M27" s="23">
        <v>285077</v>
      </c>
      <c r="N27" s="23">
        <v>17612217</v>
      </c>
      <c r="O27" s="21" t="s">
        <v>230</v>
      </c>
      <c r="P27" s="74">
        <v>14.3960162</v>
      </c>
      <c r="Q27" s="74">
        <v>-91.319659000000001</v>
      </c>
      <c r="R27" s="24">
        <v>45056</v>
      </c>
      <c r="S27" s="24">
        <v>45235</v>
      </c>
      <c r="T27" s="23">
        <v>180</v>
      </c>
      <c r="U27" s="23">
        <v>0</v>
      </c>
      <c r="V27" s="40" t="s">
        <v>231</v>
      </c>
      <c r="W27" s="40" t="s">
        <v>232</v>
      </c>
      <c r="X27" s="26">
        <v>10497000</v>
      </c>
      <c r="Y27" s="26">
        <v>0</v>
      </c>
      <c r="Z27" s="26">
        <f t="shared" si="7"/>
        <v>10497000</v>
      </c>
      <c r="AA27" s="27">
        <v>3017641.57</v>
      </c>
      <c r="AB27" s="27">
        <f t="shared" si="1"/>
        <v>7479358.4299999997</v>
      </c>
    </row>
    <row r="28" spans="1:28" ht="273" x14ac:dyDescent="0.25">
      <c r="A28" s="7">
        <v>27</v>
      </c>
      <c r="B28" s="8">
        <v>2022</v>
      </c>
      <c r="C28" s="8" t="s">
        <v>28</v>
      </c>
      <c r="D28" s="7" t="s">
        <v>29</v>
      </c>
      <c r="E28" s="9" t="s">
        <v>233</v>
      </c>
      <c r="F28" s="9" t="s">
        <v>234</v>
      </c>
      <c r="G28" s="9" t="s">
        <v>235</v>
      </c>
      <c r="H28" s="10">
        <v>0.6</v>
      </c>
      <c r="I28" s="10">
        <f t="shared" si="3"/>
        <v>0.50592207760101793</v>
      </c>
      <c r="J28" s="9" t="s">
        <v>163</v>
      </c>
      <c r="K28" s="36" t="s">
        <v>236</v>
      </c>
      <c r="L28" s="11" t="s">
        <v>194</v>
      </c>
      <c r="M28" s="12">
        <v>266686</v>
      </c>
      <c r="N28" s="12">
        <v>18047440</v>
      </c>
      <c r="O28" s="9" t="s">
        <v>237</v>
      </c>
      <c r="P28" s="73">
        <v>14.9181534</v>
      </c>
      <c r="Q28" s="73">
        <v>-91.443099500000002</v>
      </c>
      <c r="R28" s="14">
        <v>44918</v>
      </c>
      <c r="S28" s="20" t="s">
        <v>238</v>
      </c>
      <c r="T28" s="12">
        <v>240</v>
      </c>
      <c r="U28" s="12">
        <v>240</v>
      </c>
      <c r="V28" s="15" t="s">
        <v>239</v>
      </c>
      <c r="W28" s="15" t="s">
        <v>240</v>
      </c>
      <c r="X28" s="16">
        <v>28843600</v>
      </c>
      <c r="Y28" s="16">
        <f>5765295.95-13389025.92+1685574.59+17472171.33</f>
        <v>11534015.949999999</v>
      </c>
      <c r="Z28" s="18">
        <f t="shared" si="7"/>
        <v>40377615.950000003</v>
      </c>
      <c r="AA28" s="16">
        <v>20427927.350000001</v>
      </c>
      <c r="AB28" s="17">
        <f t="shared" si="1"/>
        <v>19949688.600000001</v>
      </c>
    </row>
    <row r="29" spans="1:28" ht="312" x14ac:dyDescent="0.25">
      <c r="A29" s="7">
        <v>28</v>
      </c>
      <c r="B29" s="8">
        <v>2024</v>
      </c>
      <c r="C29" s="8" t="s">
        <v>56</v>
      </c>
      <c r="D29" s="7" t="s">
        <v>29</v>
      </c>
      <c r="E29" s="9" t="s">
        <v>241</v>
      </c>
      <c r="F29" s="9" t="s">
        <v>242</v>
      </c>
      <c r="G29" s="9" t="s">
        <v>243</v>
      </c>
      <c r="H29" s="10">
        <v>0.42</v>
      </c>
      <c r="I29" s="10">
        <f t="shared" si="3"/>
        <v>0.40131600804980316</v>
      </c>
      <c r="J29" s="9" t="s">
        <v>244</v>
      </c>
      <c r="K29" s="9" t="s">
        <v>245</v>
      </c>
      <c r="L29" s="11" t="s">
        <v>246</v>
      </c>
      <c r="M29" s="9">
        <v>263507</v>
      </c>
      <c r="N29" s="12">
        <v>19639880</v>
      </c>
      <c r="O29" s="9" t="s">
        <v>247</v>
      </c>
      <c r="P29" s="73">
        <v>15.1075903</v>
      </c>
      <c r="Q29" s="73">
        <v>-89.366608099999993</v>
      </c>
      <c r="R29" s="14">
        <v>45296</v>
      </c>
      <c r="S29" s="14">
        <v>46129</v>
      </c>
      <c r="T29" s="12">
        <v>240</v>
      </c>
      <c r="U29" s="12">
        <v>240</v>
      </c>
      <c r="V29" s="15" t="s">
        <v>248</v>
      </c>
      <c r="W29" s="15" t="s">
        <v>249</v>
      </c>
      <c r="X29" s="18">
        <v>93000000</v>
      </c>
      <c r="Y29" s="18">
        <v>12843531.9</v>
      </c>
      <c r="Z29" s="18">
        <f>+X29+Y29</f>
        <v>105843531.90000001</v>
      </c>
      <c r="AA29" s="18">
        <v>42476703.700000003</v>
      </c>
      <c r="AB29" s="17">
        <f t="shared" si="1"/>
        <v>63366828.200000003</v>
      </c>
    </row>
    <row r="30" spans="1:28" ht="273" x14ac:dyDescent="0.25">
      <c r="A30" s="7">
        <v>29</v>
      </c>
      <c r="B30" s="8">
        <v>2024</v>
      </c>
      <c r="C30" s="8" t="s">
        <v>28</v>
      </c>
      <c r="D30" s="7" t="s">
        <v>29</v>
      </c>
      <c r="E30" s="9" t="s">
        <v>250</v>
      </c>
      <c r="F30" s="9" t="s">
        <v>251</v>
      </c>
      <c r="G30" s="9" t="s">
        <v>252</v>
      </c>
      <c r="H30" s="10">
        <v>0.80120000000000002</v>
      </c>
      <c r="I30" s="10">
        <f t="shared" si="3"/>
        <v>0.73394897031416773</v>
      </c>
      <c r="J30" s="9" t="s">
        <v>42</v>
      </c>
      <c r="K30" s="9" t="s">
        <v>253</v>
      </c>
      <c r="L30" s="11" t="s">
        <v>61</v>
      </c>
      <c r="M30" s="9">
        <v>299324</v>
      </c>
      <c r="N30" s="12">
        <v>23949120</v>
      </c>
      <c r="O30" s="9" t="s">
        <v>254</v>
      </c>
      <c r="P30" s="73">
        <v>14.5047222</v>
      </c>
      <c r="Q30" s="73">
        <v>-90.951111100000006</v>
      </c>
      <c r="R30" s="14">
        <v>45646</v>
      </c>
      <c r="S30" s="14">
        <v>46186</v>
      </c>
      <c r="T30" s="12">
        <v>540</v>
      </c>
      <c r="U30" s="12">
        <v>0</v>
      </c>
      <c r="V30" s="41" t="s">
        <v>255</v>
      </c>
      <c r="W30" s="15" t="s">
        <v>256</v>
      </c>
      <c r="X30" s="18">
        <v>15930500</v>
      </c>
      <c r="Y30" s="18">
        <f>-2624876+1687426.08+2382443.92</f>
        <v>1444994</v>
      </c>
      <c r="Z30" s="18">
        <f t="shared" ref="Z30:Z62" si="8">+X30+Y30</f>
        <v>17375494</v>
      </c>
      <c r="AA30" s="18">
        <v>12752725.93</v>
      </c>
      <c r="AB30" s="17">
        <f t="shared" si="1"/>
        <v>4622768.07</v>
      </c>
    </row>
    <row r="31" spans="1:28" ht="390" x14ac:dyDescent="0.25">
      <c r="A31" s="7">
        <v>30</v>
      </c>
      <c r="B31" s="8">
        <v>2025</v>
      </c>
      <c r="C31" s="8" t="s">
        <v>56</v>
      </c>
      <c r="D31" s="7" t="s">
        <v>29</v>
      </c>
      <c r="E31" s="9" t="s">
        <v>257</v>
      </c>
      <c r="F31" s="9" t="s">
        <v>258</v>
      </c>
      <c r="G31" s="9" t="s">
        <v>77</v>
      </c>
      <c r="H31" s="10">
        <v>1.32E-2</v>
      </c>
      <c r="I31" s="10">
        <f t="shared" si="3"/>
        <v>0</v>
      </c>
      <c r="J31" s="9" t="s">
        <v>259</v>
      </c>
      <c r="K31" s="9" t="s">
        <v>260</v>
      </c>
      <c r="L31" s="11" t="s">
        <v>61</v>
      </c>
      <c r="M31" s="9">
        <v>245777</v>
      </c>
      <c r="N31" s="12">
        <v>25081683</v>
      </c>
      <c r="O31" s="9" t="s">
        <v>261</v>
      </c>
      <c r="P31" s="73">
        <v>14.3744917</v>
      </c>
      <c r="Q31" s="73">
        <v>-91.133122222222198</v>
      </c>
      <c r="R31" s="14">
        <v>45889</v>
      </c>
      <c r="S31" s="14">
        <v>46128</v>
      </c>
      <c r="T31" s="12">
        <v>240</v>
      </c>
      <c r="U31" s="12">
        <v>0</v>
      </c>
      <c r="V31" s="42" t="s">
        <v>255</v>
      </c>
      <c r="W31" s="15" t="s">
        <v>256</v>
      </c>
      <c r="X31" s="18">
        <v>10993403.82</v>
      </c>
      <c r="Y31" s="18">
        <v>0</v>
      </c>
      <c r="Z31" s="18">
        <f t="shared" si="8"/>
        <v>10993403.82</v>
      </c>
      <c r="AA31" s="18">
        <v>0</v>
      </c>
      <c r="AB31" s="17">
        <f t="shared" si="1"/>
        <v>10993403.82</v>
      </c>
    </row>
    <row r="32" spans="1:28" ht="214.5" x14ac:dyDescent="0.25">
      <c r="A32" s="7">
        <v>31</v>
      </c>
      <c r="B32" s="8">
        <v>2025</v>
      </c>
      <c r="C32" s="8" t="s">
        <v>56</v>
      </c>
      <c r="D32" s="7" t="s">
        <v>29</v>
      </c>
      <c r="E32" s="9" t="s">
        <v>262</v>
      </c>
      <c r="F32" s="9" t="s">
        <v>263</v>
      </c>
      <c r="G32" s="9" t="s">
        <v>264</v>
      </c>
      <c r="H32" s="10">
        <v>0.20180000000000001</v>
      </c>
      <c r="I32" s="10">
        <f t="shared" si="3"/>
        <v>0</v>
      </c>
      <c r="J32" s="9" t="s">
        <v>42</v>
      </c>
      <c r="K32" s="9" t="s">
        <v>265</v>
      </c>
      <c r="L32" s="11" t="s">
        <v>266</v>
      </c>
      <c r="M32" s="9">
        <v>294902</v>
      </c>
      <c r="N32" s="12">
        <v>26290693</v>
      </c>
      <c r="O32" s="9" t="s">
        <v>267</v>
      </c>
      <c r="P32" s="73">
        <v>14.8544444</v>
      </c>
      <c r="Q32" s="73">
        <v>-92.078611111111101</v>
      </c>
      <c r="R32" s="14">
        <v>45916</v>
      </c>
      <c r="S32" s="14">
        <v>46365</v>
      </c>
      <c r="T32" s="12">
        <v>450</v>
      </c>
      <c r="U32" s="12">
        <v>0</v>
      </c>
      <c r="V32" s="43" t="s">
        <v>268</v>
      </c>
      <c r="W32" s="44" t="s">
        <v>269</v>
      </c>
      <c r="X32" s="18">
        <v>16080001</v>
      </c>
      <c r="Y32" s="18">
        <f>-165036.9+1334072.74+51800</f>
        <v>1220835.8400000001</v>
      </c>
      <c r="Z32" s="18">
        <f t="shared" si="8"/>
        <v>17300836.84</v>
      </c>
      <c r="AA32" s="18">
        <v>0</v>
      </c>
      <c r="AB32" s="17">
        <f t="shared" si="1"/>
        <v>17300836.84</v>
      </c>
    </row>
    <row r="33" spans="1:28" ht="214.5" x14ac:dyDescent="0.25">
      <c r="A33" s="7">
        <v>32</v>
      </c>
      <c r="B33" s="8">
        <v>2022</v>
      </c>
      <c r="C33" s="8" t="s">
        <v>28</v>
      </c>
      <c r="D33" s="7" t="s">
        <v>270</v>
      </c>
      <c r="E33" s="34" t="s">
        <v>271</v>
      </c>
      <c r="F33" s="34" t="s">
        <v>272</v>
      </c>
      <c r="G33" s="34" t="s">
        <v>32</v>
      </c>
      <c r="H33" s="35" t="s">
        <v>273</v>
      </c>
      <c r="I33" s="10">
        <f t="shared" si="3"/>
        <v>0.87441598683201727</v>
      </c>
      <c r="J33" s="9" t="s">
        <v>274</v>
      </c>
      <c r="K33" s="9" t="s">
        <v>275</v>
      </c>
      <c r="L33" s="11" t="s">
        <v>35</v>
      </c>
      <c r="M33" s="45" t="s">
        <v>276</v>
      </c>
      <c r="N33" s="12">
        <v>16356292</v>
      </c>
      <c r="O33" s="46" t="s">
        <v>277</v>
      </c>
      <c r="P33" s="73">
        <v>15.337723199999999</v>
      </c>
      <c r="Q33" s="73">
        <v>-89.743525700000006</v>
      </c>
      <c r="R33" s="14">
        <v>44925</v>
      </c>
      <c r="S33" s="14">
        <v>45014</v>
      </c>
      <c r="T33" s="12">
        <v>90</v>
      </c>
      <c r="U33" s="12">
        <v>90</v>
      </c>
      <c r="V33" s="47" t="s">
        <v>278</v>
      </c>
      <c r="W33" s="15" t="s">
        <v>279</v>
      </c>
      <c r="X33" s="48">
        <v>1854234.46</v>
      </c>
      <c r="Y33" s="48">
        <f>-831467.56+831466.56-884017.8+884014.3-34376.1+398311.14+151889.33-490961.42+403972.05</f>
        <v>428830.5</v>
      </c>
      <c r="Z33" s="18">
        <f t="shared" si="8"/>
        <v>2283064.96</v>
      </c>
      <c r="AA33" s="16">
        <v>1996348.5</v>
      </c>
      <c r="AB33" s="17">
        <f t="shared" si="1"/>
        <v>286716.45999999996</v>
      </c>
    </row>
    <row r="34" spans="1:28" ht="214.5" x14ac:dyDescent="0.25">
      <c r="A34" s="7">
        <v>33</v>
      </c>
      <c r="B34" s="8">
        <v>2022</v>
      </c>
      <c r="C34" s="8" t="s">
        <v>28</v>
      </c>
      <c r="D34" s="7" t="s">
        <v>270</v>
      </c>
      <c r="E34" s="34" t="s">
        <v>280</v>
      </c>
      <c r="F34" s="34" t="s">
        <v>281</v>
      </c>
      <c r="G34" s="34" t="s">
        <v>32</v>
      </c>
      <c r="H34" s="35" t="s">
        <v>282</v>
      </c>
      <c r="I34" s="10">
        <f t="shared" si="3"/>
        <v>0.75485207172484337</v>
      </c>
      <c r="J34" s="9" t="s">
        <v>274</v>
      </c>
      <c r="K34" s="9" t="s">
        <v>275</v>
      </c>
      <c r="L34" s="11" t="s">
        <v>35</v>
      </c>
      <c r="M34" s="45" t="s">
        <v>276</v>
      </c>
      <c r="N34" s="12">
        <v>16356292</v>
      </c>
      <c r="O34" s="46" t="s">
        <v>277</v>
      </c>
      <c r="P34" s="73">
        <v>15.392986199999999</v>
      </c>
      <c r="Q34" s="73">
        <v>-89.646835300000006</v>
      </c>
      <c r="R34" s="14">
        <v>44925</v>
      </c>
      <c r="S34" s="14">
        <v>45014</v>
      </c>
      <c r="T34" s="12">
        <v>90</v>
      </c>
      <c r="U34" s="12">
        <v>90</v>
      </c>
      <c r="V34" s="47" t="s">
        <v>278</v>
      </c>
      <c r="W34" s="15" t="s">
        <v>279</v>
      </c>
      <c r="X34" s="48">
        <v>3122114.42</v>
      </c>
      <c r="Y34" s="48">
        <f>-986156.58+986159.06-48892.2+48890.87-986528.04+986529.36-989897.23+989882.05-197449.99+168657.15+507016.09-434400.63+522186.34</f>
        <v>565996.25000000023</v>
      </c>
      <c r="Z34" s="18">
        <f t="shared" si="8"/>
        <v>3688110.67</v>
      </c>
      <c r="AA34" s="16">
        <v>2783977.98</v>
      </c>
      <c r="AB34" s="17">
        <f t="shared" si="1"/>
        <v>904132.69</v>
      </c>
    </row>
    <row r="35" spans="1:28" ht="195" x14ac:dyDescent="0.25">
      <c r="A35" s="7">
        <v>34</v>
      </c>
      <c r="B35" s="8">
        <v>2022</v>
      </c>
      <c r="C35" s="8" t="s">
        <v>56</v>
      </c>
      <c r="D35" s="7" t="s">
        <v>270</v>
      </c>
      <c r="E35" s="40" t="s">
        <v>283</v>
      </c>
      <c r="F35" s="40" t="s">
        <v>284</v>
      </c>
      <c r="G35" s="40" t="s">
        <v>32</v>
      </c>
      <c r="H35" s="49">
        <v>0.76</v>
      </c>
      <c r="I35" s="22">
        <f t="shared" si="3"/>
        <v>0.89998137157454505</v>
      </c>
      <c r="J35" s="37" t="s">
        <v>285</v>
      </c>
      <c r="K35" s="37" t="s">
        <v>286</v>
      </c>
      <c r="L35" s="21" t="s">
        <v>35</v>
      </c>
      <c r="M35" s="40" t="s">
        <v>287</v>
      </c>
      <c r="N35" s="23">
        <v>16649710</v>
      </c>
      <c r="O35" s="49" t="s">
        <v>288</v>
      </c>
      <c r="P35" s="74">
        <v>15.369643699999999</v>
      </c>
      <c r="Q35" s="74">
        <v>-90.547197600000004</v>
      </c>
      <c r="R35" s="24">
        <v>44917</v>
      </c>
      <c r="S35" s="24">
        <v>45006</v>
      </c>
      <c r="T35" s="23">
        <v>90</v>
      </c>
      <c r="U35" s="23">
        <v>0</v>
      </c>
      <c r="V35" s="49" t="s">
        <v>289</v>
      </c>
      <c r="W35" s="49" t="s">
        <v>290</v>
      </c>
      <c r="X35" s="50">
        <v>1106000</v>
      </c>
      <c r="Y35" s="50">
        <v>181441.07000000004</v>
      </c>
      <c r="Z35" s="26">
        <f t="shared" si="8"/>
        <v>1287441.07</v>
      </c>
      <c r="AA35" s="26">
        <v>1158672.98</v>
      </c>
      <c r="AB35" s="27">
        <f t="shared" si="1"/>
        <v>128768.09000000008</v>
      </c>
    </row>
    <row r="36" spans="1:28" ht="292.5" x14ac:dyDescent="0.25">
      <c r="A36" s="7">
        <v>35</v>
      </c>
      <c r="B36" s="8">
        <v>2022</v>
      </c>
      <c r="C36" s="8" t="s">
        <v>56</v>
      </c>
      <c r="D36" s="7" t="s">
        <v>270</v>
      </c>
      <c r="E36" s="40" t="s">
        <v>291</v>
      </c>
      <c r="F36" s="40" t="s">
        <v>292</v>
      </c>
      <c r="G36" s="40" t="s">
        <v>32</v>
      </c>
      <c r="H36" s="49">
        <v>0</v>
      </c>
      <c r="I36" s="22">
        <f t="shared" si="3"/>
        <v>0.84001895348837208</v>
      </c>
      <c r="J36" s="21" t="s">
        <v>293</v>
      </c>
      <c r="K36" s="21" t="s">
        <v>294</v>
      </c>
      <c r="L36" s="21" t="s">
        <v>35</v>
      </c>
      <c r="M36" s="40" t="s">
        <v>295</v>
      </c>
      <c r="N36" s="23">
        <v>16650085</v>
      </c>
      <c r="O36" s="49" t="s">
        <v>296</v>
      </c>
      <c r="P36" s="74">
        <v>15.3737452</v>
      </c>
      <c r="Q36" s="74">
        <v>-90.143979799999997</v>
      </c>
      <c r="R36" s="24">
        <v>44917</v>
      </c>
      <c r="S36" s="24">
        <v>45006</v>
      </c>
      <c r="T36" s="23">
        <v>90</v>
      </c>
      <c r="U36" s="23">
        <v>90</v>
      </c>
      <c r="V36" s="49" t="s">
        <v>289</v>
      </c>
      <c r="W36" s="49" t="s">
        <v>290</v>
      </c>
      <c r="X36" s="50">
        <v>1204000</v>
      </c>
      <c r="Y36" s="50">
        <v>0</v>
      </c>
      <c r="Z36" s="26">
        <f t="shared" si="8"/>
        <v>1204000</v>
      </c>
      <c r="AA36" s="27">
        <v>1011382.82</v>
      </c>
      <c r="AB36" s="27">
        <f t="shared" si="1"/>
        <v>192617.18000000005</v>
      </c>
    </row>
    <row r="37" spans="1:28" ht="195" x14ac:dyDescent="0.25">
      <c r="A37" s="7">
        <v>36</v>
      </c>
      <c r="B37" s="8">
        <v>2022</v>
      </c>
      <c r="C37" s="8" t="s">
        <v>56</v>
      </c>
      <c r="D37" s="7" t="s">
        <v>270</v>
      </c>
      <c r="E37" s="40" t="s">
        <v>297</v>
      </c>
      <c r="F37" s="40" t="s">
        <v>292</v>
      </c>
      <c r="G37" s="40" t="s">
        <v>32</v>
      </c>
      <c r="H37" s="49">
        <v>0.64500000000000002</v>
      </c>
      <c r="I37" s="22">
        <f t="shared" si="3"/>
        <v>0.89799016407933707</v>
      </c>
      <c r="J37" s="21" t="s">
        <v>293</v>
      </c>
      <c r="K37" s="21" t="s">
        <v>294</v>
      </c>
      <c r="L37" s="21" t="s">
        <v>35</v>
      </c>
      <c r="M37" s="40" t="s">
        <v>295</v>
      </c>
      <c r="N37" s="23">
        <v>16650085</v>
      </c>
      <c r="O37" s="49" t="s">
        <v>296</v>
      </c>
      <c r="P37" s="74">
        <v>15.4213445</v>
      </c>
      <c r="Q37" s="74">
        <v>-90.244411900000003</v>
      </c>
      <c r="R37" s="24">
        <v>44917</v>
      </c>
      <c r="S37" s="24">
        <v>45006</v>
      </c>
      <c r="T37" s="23">
        <v>90</v>
      </c>
      <c r="U37" s="23">
        <v>90</v>
      </c>
      <c r="V37" s="49" t="s">
        <v>289</v>
      </c>
      <c r="W37" s="49" t="s">
        <v>290</v>
      </c>
      <c r="X37" s="51">
        <v>770000</v>
      </c>
      <c r="Y37" s="51">
        <v>329602.2</v>
      </c>
      <c r="Z37" s="26">
        <f t="shared" si="8"/>
        <v>1099602.2</v>
      </c>
      <c r="AA37" s="27">
        <v>987431.96</v>
      </c>
      <c r="AB37" s="27">
        <f t="shared" si="1"/>
        <v>112170.23999999999</v>
      </c>
    </row>
    <row r="38" spans="1:28" ht="195" x14ac:dyDescent="0.25">
      <c r="A38" s="7">
        <v>37</v>
      </c>
      <c r="B38" s="8">
        <v>2023</v>
      </c>
      <c r="C38" s="8" t="s">
        <v>56</v>
      </c>
      <c r="D38" s="7" t="s">
        <v>270</v>
      </c>
      <c r="E38" s="40" t="s">
        <v>298</v>
      </c>
      <c r="F38" s="40" t="s">
        <v>41</v>
      </c>
      <c r="G38" s="40" t="s">
        <v>32</v>
      </c>
      <c r="H38" s="49">
        <v>0.43</v>
      </c>
      <c r="I38" s="22">
        <f t="shared" si="3"/>
        <v>0.80185099889731748</v>
      </c>
      <c r="J38" s="21" t="s">
        <v>299</v>
      </c>
      <c r="K38" s="21" t="s">
        <v>300</v>
      </c>
      <c r="L38" s="21" t="s">
        <v>35</v>
      </c>
      <c r="M38" s="52" t="s">
        <v>301</v>
      </c>
      <c r="N38" s="40">
        <v>19308981</v>
      </c>
      <c r="O38" s="49" t="s">
        <v>302</v>
      </c>
      <c r="P38" s="74">
        <v>15.4777</v>
      </c>
      <c r="Q38" s="74">
        <v>-90.371600000000001</v>
      </c>
      <c r="R38" s="24">
        <v>45107</v>
      </c>
      <c r="S38" s="24">
        <v>45346</v>
      </c>
      <c r="T38" s="23">
        <v>240</v>
      </c>
      <c r="U38" s="23">
        <v>0</v>
      </c>
      <c r="V38" s="49" t="s">
        <v>303</v>
      </c>
      <c r="W38" s="49" t="s">
        <v>304</v>
      </c>
      <c r="X38" s="50">
        <v>2400110.56</v>
      </c>
      <c r="Y38" s="50">
        <v>0</v>
      </c>
      <c r="Z38" s="26">
        <f t="shared" si="8"/>
        <v>2400110.56</v>
      </c>
      <c r="AA38" s="26">
        <v>1924531.05</v>
      </c>
      <c r="AB38" s="27">
        <f t="shared" si="1"/>
        <v>475579.51</v>
      </c>
    </row>
    <row r="39" spans="1:28" ht="234" x14ac:dyDescent="0.25">
      <c r="A39" s="7">
        <v>38</v>
      </c>
      <c r="B39" s="8">
        <v>2023</v>
      </c>
      <c r="C39" s="8" t="s">
        <v>56</v>
      </c>
      <c r="D39" s="7" t="s">
        <v>270</v>
      </c>
      <c r="E39" s="40" t="s">
        <v>305</v>
      </c>
      <c r="F39" s="40" t="s">
        <v>41</v>
      </c>
      <c r="G39" s="40" t="s">
        <v>32</v>
      </c>
      <c r="H39" s="49">
        <v>0.38300000000000001</v>
      </c>
      <c r="I39" s="22">
        <f t="shared" si="3"/>
        <v>0.84593364520287773</v>
      </c>
      <c r="J39" s="21" t="s">
        <v>299</v>
      </c>
      <c r="K39" s="21" t="s">
        <v>300</v>
      </c>
      <c r="L39" s="21" t="s">
        <v>35</v>
      </c>
      <c r="M39" s="52" t="s">
        <v>301</v>
      </c>
      <c r="N39" s="40">
        <v>19308981</v>
      </c>
      <c r="O39" s="49" t="s">
        <v>302</v>
      </c>
      <c r="P39" s="74">
        <v>15.4787</v>
      </c>
      <c r="Q39" s="74">
        <v>-90.376000000000005</v>
      </c>
      <c r="R39" s="24">
        <v>45107</v>
      </c>
      <c r="S39" s="24">
        <v>45346</v>
      </c>
      <c r="T39" s="23">
        <v>240</v>
      </c>
      <c r="U39" s="23">
        <v>0</v>
      </c>
      <c r="V39" s="49" t="s">
        <v>303</v>
      </c>
      <c r="W39" s="49" t="s">
        <v>304</v>
      </c>
      <c r="X39" s="50">
        <v>1421491.8</v>
      </c>
      <c r="Y39" s="50">
        <v>0</v>
      </c>
      <c r="Z39" s="26">
        <f t="shared" si="8"/>
        <v>1421491.8</v>
      </c>
      <c r="AA39" s="26">
        <v>1202487.74</v>
      </c>
      <c r="AB39" s="27">
        <f t="shared" si="1"/>
        <v>219004.06000000006</v>
      </c>
    </row>
    <row r="40" spans="1:28" ht="214.5" x14ac:dyDescent="0.25">
      <c r="A40" s="7">
        <v>39</v>
      </c>
      <c r="B40" s="8">
        <v>2023</v>
      </c>
      <c r="C40" s="8" t="s">
        <v>56</v>
      </c>
      <c r="D40" s="7" t="s">
        <v>270</v>
      </c>
      <c r="E40" s="40" t="s">
        <v>306</v>
      </c>
      <c r="F40" s="40" t="s">
        <v>307</v>
      </c>
      <c r="G40" s="40" t="s">
        <v>32</v>
      </c>
      <c r="H40" s="49">
        <v>0.2361</v>
      </c>
      <c r="I40" s="22">
        <f t="shared" si="3"/>
        <v>0.65701047603594476</v>
      </c>
      <c r="J40" s="21" t="s">
        <v>308</v>
      </c>
      <c r="K40" s="21" t="s">
        <v>309</v>
      </c>
      <c r="L40" s="21" t="s">
        <v>120</v>
      </c>
      <c r="M40" s="40" t="s">
        <v>310</v>
      </c>
      <c r="N40" s="23">
        <v>19309406</v>
      </c>
      <c r="O40" s="49" t="s">
        <v>311</v>
      </c>
      <c r="P40" s="74">
        <v>15.9311019</v>
      </c>
      <c r="Q40" s="74">
        <v>-90.511684900000006</v>
      </c>
      <c r="R40" s="24">
        <v>45099</v>
      </c>
      <c r="S40" s="24">
        <v>45338</v>
      </c>
      <c r="T40" s="23">
        <v>240</v>
      </c>
      <c r="U40" s="23">
        <v>0</v>
      </c>
      <c r="V40" s="49" t="s">
        <v>303</v>
      </c>
      <c r="W40" s="49" t="s">
        <v>304</v>
      </c>
      <c r="X40" s="50">
        <v>4724513.1900000004</v>
      </c>
      <c r="Y40" s="50">
        <v>0</v>
      </c>
      <c r="Z40" s="26">
        <f t="shared" si="8"/>
        <v>4724513.1900000004</v>
      </c>
      <c r="AA40" s="26">
        <v>3104054.66</v>
      </c>
      <c r="AB40" s="27">
        <f t="shared" si="1"/>
        <v>1620458.5300000003</v>
      </c>
    </row>
    <row r="41" spans="1:28" ht="136.5" x14ac:dyDescent="0.25">
      <c r="A41" s="7">
        <v>40</v>
      </c>
      <c r="B41" s="8">
        <v>2022</v>
      </c>
      <c r="C41" s="8" t="s">
        <v>56</v>
      </c>
      <c r="D41" s="7" t="s">
        <v>270</v>
      </c>
      <c r="E41" s="34" t="s">
        <v>312</v>
      </c>
      <c r="F41" s="34" t="s">
        <v>313</v>
      </c>
      <c r="G41" s="34" t="s">
        <v>68</v>
      </c>
      <c r="H41" s="35">
        <v>1</v>
      </c>
      <c r="I41" s="10">
        <f t="shared" si="3"/>
        <v>0.85763418017548099</v>
      </c>
      <c r="J41" s="9" t="s">
        <v>314</v>
      </c>
      <c r="K41" s="9" t="s">
        <v>315</v>
      </c>
      <c r="L41" s="11" t="s">
        <v>71</v>
      </c>
      <c r="M41" s="53" t="s">
        <v>316</v>
      </c>
      <c r="N41" s="12">
        <v>18490387</v>
      </c>
      <c r="O41" s="34" t="s">
        <v>317</v>
      </c>
      <c r="P41" s="73">
        <v>14.976800000000001</v>
      </c>
      <c r="Q41" s="73">
        <v>-90.144300000000001</v>
      </c>
      <c r="R41" s="14">
        <v>44893</v>
      </c>
      <c r="S41" s="14">
        <v>44982</v>
      </c>
      <c r="T41" s="12">
        <v>90</v>
      </c>
      <c r="U41" s="12">
        <v>90</v>
      </c>
      <c r="V41" s="54" t="s">
        <v>231</v>
      </c>
      <c r="W41" s="54" t="s">
        <v>232</v>
      </c>
      <c r="X41" s="48">
        <v>1529828.48</v>
      </c>
      <c r="Y41" s="48">
        <f>-205840.5+112911.51+37142.82-76100.15+93975.13+10402.44</f>
        <v>-27508.75</v>
      </c>
      <c r="Z41" s="18">
        <f t="shared" si="8"/>
        <v>1502319.73</v>
      </c>
      <c r="AA41" s="16">
        <v>1288440.75</v>
      </c>
      <c r="AB41" s="17">
        <f t="shared" si="1"/>
        <v>213878.97999999998</v>
      </c>
    </row>
    <row r="42" spans="1:28" ht="156" x14ac:dyDescent="0.25">
      <c r="A42" s="7">
        <v>41</v>
      </c>
      <c r="B42" s="8">
        <v>2022</v>
      </c>
      <c r="C42" s="8" t="s">
        <v>56</v>
      </c>
      <c r="D42" s="7" t="s">
        <v>270</v>
      </c>
      <c r="E42" s="34" t="s">
        <v>318</v>
      </c>
      <c r="F42" s="34" t="s">
        <v>313</v>
      </c>
      <c r="G42" s="34" t="s">
        <v>68</v>
      </c>
      <c r="H42" s="35">
        <v>1</v>
      </c>
      <c r="I42" s="10">
        <f t="shared" si="3"/>
        <v>0.94388669206570486</v>
      </c>
      <c r="J42" s="9" t="s">
        <v>319</v>
      </c>
      <c r="K42" s="9" t="s">
        <v>315</v>
      </c>
      <c r="L42" s="11" t="s">
        <v>71</v>
      </c>
      <c r="M42" s="53" t="s">
        <v>316</v>
      </c>
      <c r="N42" s="12">
        <v>18490387</v>
      </c>
      <c r="O42" s="34" t="s">
        <v>317</v>
      </c>
      <c r="P42" s="73">
        <v>14.977499999999999</v>
      </c>
      <c r="Q42" s="73">
        <v>-90.219099999999997</v>
      </c>
      <c r="R42" s="14">
        <v>44893</v>
      </c>
      <c r="S42" s="14">
        <v>44982</v>
      </c>
      <c r="T42" s="12">
        <v>90</v>
      </c>
      <c r="U42" s="12">
        <v>90</v>
      </c>
      <c r="V42" s="54" t="s">
        <v>231</v>
      </c>
      <c r="W42" s="54" t="s">
        <v>232</v>
      </c>
      <c r="X42" s="48">
        <v>475053.7</v>
      </c>
      <c r="Y42" s="48">
        <f>-125587+62137.25+446579.18-5625+52959.75+19238.85-130226.28+31498.2</f>
        <v>350974.95</v>
      </c>
      <c r="Z42" s="18">
        <f t="shared" si="8"/>
        <v>826028.65</v>
      </c>
      <c r="AA42" s="16">
        <v>779677.45</v>
      </c>
      <c r="AB42" s="17">
        <f t="shared" si="1"/>
        <v>46351.20000000007</v>
      </c>
    </row>
    <row r="43" spans="1:28" ht="136.5" x14ac:dyDescent="0.25">
      <c r="A43" s="7">
        <v>42</v>
      </c>
      <c r="B43" s="8">
        <v>2022</v>
      </c>
      <c r="C43" s="8" t="s">
        <v>56</v>
      </c>
      <c r="D43" s="7" t="s">
        <v>270</v>
      </c>
      <c r="E43" s="34" t="s">
        <v>320</v>
      </c>
      <c r="F43" s="34" t="s">
        <v>313</v>
      </c>
      <c r="G43" s="34" t="s">
        <v>68</v>
      </c>
      <c r="H43" s="35">
        <v>1</v>
      </c>
      <c r="I43" s="10">
        <f t="shared" si="3"/>
        <v>0.67211517899026874</v>
      </c>
      <c r="J43" s="9" t="s">
        <v>319</v>
      </c>
      <c r="K43" s="9" t="s">
        <v>315</v>
      </c>
      <c r="L43" s="11" t="s">
        <v>71</v>
      </c>
      <c r="M43" s="53" t="s">
        <v>316</v>
      </c>
      <c r="N43" s="12">
        <v>18490387</v>
      </c>
      <c r="O43" s="34" t="s">
        <v>317</v>
      </c>
      <c r="P43" s="73">
        <v>14.919</v>
      </c>
      <c r="Q43" s="73">
        <v>-90.150999999999996</v>
      </c>
      <c r="R43" s="14">
        <v>44893</v>
      </c>
      <c r="S43" s="14">
        <v>44982</v>
      </c>
      <c r="T43" s="12">
        <v>90</v>
      </c>
      <c r="U43" s="12">
        <v>90</v>
      </c>
      <c r="V43" s="54" t="s">
        <v>231</v>
      </c>
      <c r="W43" s="54" t="s">
        <v>232</v>
      </c>
      <c r="X43" s="48">
        <v>782362.4</v>
      </c>
      <c r="Y43" s="48">
        <f>-41245+286730.4+5756.3-99105.1+46551.08+572</f>
        <v>199259.68</v>
      </c>
      <c r="Z43" s="18">
        <f t="shared" si="8"/>
        <v>981622.08000000007</v>
      </c>
      <c r="AA43" s="16">
        <v>659763.1</v>
      </c>
      <c r="AB43" s="17">
        <f t="shared" si="1"/>
        <v>321858.9800000001</v>
      </c>
    </row>
    <row r="44" spans="1:28" ht="234" x14ac:dyDescent="0.25">
      <c r="A44" s="7">
        <v>43</v>
      </c>
      <c r="B44" s="8">
        <v>2022</v>
      </c>
      <c r="C44" s="8" t="s">
        <v>56</v>
      </c>
      <c r="D44" s="7" t="s">
        <v>270</v>
      </c>
      <c r="E44" s="34" t="s">
        <v>321</v>
      </c>
      <c r="F44" s="34" t="s">
        <v>313</v>
      </c>
      <c r="G44" s="34" t="s">
        <v>68</v>
      </c>
      <c r="H44" s="35">
        <v>1</v>
      </c>
      <c r="I44" s="10">
        <f t="shared" si="3"/>
        <v>0.75140819889730703</v>
      </c>
      <c r="J44" s="9" t="s">
        <v>322</v>
      </c>
      <c r="K44" s="9" t="s">
        <v>315</v>
      </c>
      <c r="L44" s="11" t="s">
        <v>71</v>
      </c>
      <c r="M44" s="53" t="s">
        <v>316</v>
      </c>
      <c r="N44" s="12">
        <v>18490387</v>
      </c>
      <c r="O44" s="34" t="s">
        <v>317</v>
      </c>
      <c r="P44" s="73">
        <v>14.998562099999999</v>
      </c>
      <c r="Q44" s="73">
        <v>-90.078669000000005</v>
      </c>
      <c r="R44" s="14">
        <v>44893</v>
      </c>
      <c r="S44" s="14">
        <v>44982</v>
      </c>
      <c r="T44" s="12">
        <v>90</v>
      </c>
      <c r="U44" s="12">
        <v>90</v>
      </c>
      <c r="V44" s="54" t="s">
        <v>231</v>
      </c>
      <c r="W44" s="54" t="s">
        <v>232</v>
      </c>
      <c r="X44" s="48">
        <v>580654.42000000004</v>
      </c>
      <c r="Y44" s="48">
        <f>-44592.5+65730.96+6802.9-9705+53744.3</f>
        <v>71980.66</v>
      </c>
      <c r="Z44" s="18">
        <f t="shared" si="8"/>
        <v>652635.08000000007</v>
      </c>
      <c r="AA44" s="16">
        <v>490395.35</v>
      </c>
      <c r="AB44" s="17">
        <f t="shared" si="1"/>
        <v>162239.7300000001</v>
      </c>
    </row>
    <row r="45" spans="1:28" ht="136.5" x14ac:dyDescent="0.25">
      <c r="A45" s="7">
        <v>44</v>
      </c>
      <c r="B45" s="8">
        <v>2023</v>
      </c>
      <c r="C45" s="8" t="s">
        <v>56</v>
      </c>
      <c r="D45" s="7" t="s">
        <v>270</v>
      </c>
      <c r="E45" s="40" t="s">
        <v>323</v>
      </c>
      <c r="F45" s="40" t="s">
        <v>324</v>
      </c>
      <c r="G45" s="40" t="s">
        <v>77</v>
      </c>
      <c r="H45" s="49">
        <v>0.63780000000000003</v>
      </c>
      <c r="I45" s="22">
        <f t="shared" si="3"/>
        <v>0.89985618510635967</v>
      </c>
      <c r="J45" s="21" t="s">
        <v>325</v>
      </c>
      <c r="K45" s="21" t="s">
        <v>326</v>
      </c>
      <c r="L45" s="21" t="s">
        <v>80</v>
      </c>
      <c r="M45" s="40" t="s">
        <v>327</v>
      </c>
      <c r="N45" s="23">
        <v>19506597</v>
      </c>
      <c r="O45" s="49" t="s">
        <v>328</v>
      </c>
      <c r="P45" s="74">
        <v>13.975298199999999</v>
      </c>
      <c r="Q45" s="74">
        <v>-90.964597299999994</v>
      </c>
      <c r="R45" s="24">
        <v>45107</v>
      </c>
      <c r="S45" s="24">
        <v>45346</v>
      </c>
      <c r="T45" s="23">
        <v>240</v>
      </c>
      <c r="U45" s="23">
        <v>0</v>
      </c>
      <c r="V45" s="49" t="s">
        <v>329</v>
      </c>
      <c r="W45" s="40" t="s">
        <v>330</v>
      </c>
      <c r="X45" s="50">
        <v>3265726.3</v>
      </c>
      <c r="Y45" s="50">
        <v>963432.34</v>
      </c>
      <c r="Z45" s="26">
        <f t="shared" si="8"/>
        <v>4229158.6399999997</v>
      </c>
      <c r="AA45" s="26">
        <v>3805634.5600000001</v>
      </c>
      <c r="AB45" s="27">
        <f t="shared" si="1"/>
        <v>423524.07999999961</v>
      </c>
    </row>
    <row r="46" spans="1:28" ht="136.5" x14ac:dyDescent="0.25">
      <c r="A46" s="7">
        <v>45</v>
      </c>
      <c r="B46" s="8">
        <v>2023</v>
      </c>
      <c r="C46" s="8" t="s">
        <v>56</v>
      </c>
      <c r="D46" s="7" t="s">
        <v>270</v>
      </c>
      <c r="E46" s="40" t="s">
        <v>331</v>
      </c>
      <c r="F46" s="40" t="s">
        <v>332</v>
      </c>
      <c r="G46" s="40" t="s">
        <v>77</v>
      </c>
      <c r="H46" s="49">
        <v>0.7681</v>
      </c>
      <c r="I46" s="22">
        <f t="shared" si="3"/>
        <v>0.89981388988842859</v>
      </c>
      <c r="J46" s="21" t="s">
        <v>325</v>
      </c>
      <c r="K46" s="21" t="s">
        <v>333</v>
      </c>
      <c r="L46" s="21" t="s">
        <v>80</v>
      </c>
      <c r="M46" s="40" t="s">
        <v>327</v>
      </c>
      <c r="N46" s="23">
        <v>19506597</v>
      </c>
      <c r="O46" s="49" t="s">
        <v>328</v>
      </c>
      <c r="P46" s="74">
        <v>13.926399999999999</v>
      </c>
      <c r="Q46" s="74">
        <v>-90.8904</v>
      </c>
      <c r="R46" s="24">
        <v>45107</v>
      </c>
      <c r="S46" s="24">
        <v>45346</v>
      </c>
      <c r="T46" s="23">
        <v>240</v>
      </c>
      <c r="U46" s="23">
        <v>0</v>
      </c>
      <c r="V46" s="49" t="s">
        <v>329</v>
      </c>
      <c r="W46" s="40" t="s">
        <v>330</v>
      </c>
      <c r="X46" s="50">
        <v>1873273.7</v>
      </c>
      <c r="Y46" s="50">
        <v>1092035.3600000001</v>
      </c>
      <c r="Z46" s="26">
        <f t="shared" si="8"/>
        <v>2965309.06</v>
      </c>
      <c r="AA46" s="26">
        <v>2668226.2799999998</v>
      </c>
      <c r="AB46" s="27">
        <f t="shared" si="1"/>
        <v>297082.78000000026</v>
      </c>
    </row>
    <row r="47" spans="1:28" ht="136.5" x14ac:dyDescent="0.25">
      <c r="A47" s="7">
        <v>46</v>
      </c>
      <c r="B47" s="8">
        <v>2023</v>
      </c>
      <c r="C47" s="8" t="s">
        <v>56</v>
      </c>
      <c r="D47" s="7" t="s">
        <v>270</v>
      </c>
      <c r="E47" s="40" t="s">
        <v>334</v>
      </c>
      <c r="F47" s="40" t="s">
        <v>332</v>
      </c>
      <c r="G47" s="40" t="s">
        <v>77</v>
      </c>
      <c r="H47" s="49">
        <v>0.52769999999999995</v>
      </c>
      <c r="I47" s="22">
        <f t="shared" si="3"/>
        <v>0.93119078918699016</v>
      </c>
      <c r="J47" s="21" t="s">
        <v>335</v>
      </c>
      <c r="K47" s="21" t="s">
        <v>336</v>
      </c>
      <c r="L47" s="21" t="s">
        <v>80</v>
      </c>
      <c r="M47" s="52" t="s">
        <v>337</v>
      </c>
      <c r="N47" s="23">
        <v>19506686</v>
      </c>
      <c r="O47" s="49" t="s">
        <v>338</v>
      </c>
      <c r="P47" s="74">
        <v>13.9253</v>
      </c>
      <c r="Q47" s="74">
        <v>-90.822100000000006</v>
      </c>
      <c r="R47" s="24">
        <v>45107</v>
      </c>
      <c r="S47" s="24">
        <v>45346</v>
      </c>
      <c r="T47" s="23">
        <v>240</v>
      </c>
      <c r="U47" s="23">
        <v>240</v>
      </c>
      <c r="V47" s="49" t="s">
        <v>204</v>
      </c>
      <c r="W47" s="40" t="s">
        <v>205</v>
      </c>
      <c r="X47" s="50">
        <v>3698012.22</v>
      </c>
      <c r="Y47" s="50">
        <v>-2.0699999999999998</v>
      </c>
      <c r="Z47" s="26">
        <f t="shared" si="8"/>
        <v>3698010.1500000004</v>
      </c>
      <c r="AA47" s="26">
        <v>3443552.99</v>
      </c>
      <c r="AB47" s="27">
        <f t="shared" si="1"/>
        <v>254457.16000000015</v>
      </c>
    </row>
    <row r="48" spans="1:28" ht="156" x14ac:dyDescent="0.25">
      <c r="A48" s="7">
        <v>47</v>
      </c>
      <c r="B48" s="8">
        <v>2023</v>
      </c>
      <c r="C48" s="8" t="s">
        <v>56</v>
      </c>
      <c r="D48" s="7" t="s">
        <v>270</v>
      </c>
      <c r="E48" s="40" t="s">
        <v>339</v>
      </c>
      <c r="F48" s="40" t="s">
        <v>332</v>
      </c>
      <c r="G48" s="40" t="s">
        <v>77</v>
      </c>
      <c r="H48" s="49">
        <v>0.50490000000000002</v>
      </c>
      <c r="I48" s="22">
        <f t="shared" si="3"/>
        <v>0.84191913558457954</v>
      </c>
      <c r="J48" s="37" t="s">
        <v>340</v>
      </c>
      <c r="K48" s="37" t="s">
        <v>341</v>
      </c>
      <c r="L48" s="21" t="s">
        <v>80</v>
      </c>
      <c r="M48" s="52" t="s">
        <v>337</v>
      </c>
      <c r="N48" s="23">
        <v>19506686</v>
      </c>
      <c r="O48" s="49" t="s">
        <v>338</v>
      </c>
      <c r="P48" s="74">
        <v>13.917899999999999</v>
      </c>
      <c r="Q48" s="74">
        <v>-90.914699999999996</v>
      </c>
      <c r="R48" s="24">
        <v>45107</v>
      </c>
      <c r="S48" s="24">
        <v>45346</v>
      </c>
      <c r="T48" s="23">
        <v>240</v>
      </c>
      <c r="U48" s="23">
        <v>240</v>
      </c>
      <c r="V48" s="49" t="s">
        <v>204</v>
      </c>
      <c r="W48" s="40" t="s">
        <v>205</v>
      </c>
      <c r="X48" s="50">
        <v>1991987.78</v>
      </c>
      <c r="Y48" s="50">
        <v>-12.21</v>
      </c>
      <c r="Z48" s="26">
        <f t="shared" si="8"/>
        <v>1991975.57</v>
      </c>
      <c r="AA48" s="26">
        <v>1677082.35</v>
      </c>
      <c r="AB48" s="27">
        <f t="shared" si="1"/>
        <v>314893.21999999997</v>
      </c>
    </row>
    <row r="49" spans="1:28" ht="195" x14ac:dyDescent="0.25">
      <c r="A49" s="7">
        <v>48</v>
      </c>
      <c r="B49" s="8">
        <v>2020</v>
      </c>
      <c r="C49" s="8" t="s">
        <v>56</v>
      </c>
      <c r="D49" s="7" t="s">
        <v>270</v>
      </c>
      <c r="E49" s="34" t="s">
        <v>342</v>
      </c>
      <c r="F49" s="34" t="s">
        <v>102</v>
      </c>
      <c r="G49" s="34" t="s">
        <v>102</v>
      </c>
      <c r="H49" s="35">
        <v>1</v>
      </c>
      <c r="I49" s="10">
        <v>0.89962031886646121</v>
      </c>
      <c r="J49" s="9" t="s">
        <v>343</v>
      </c>
      <c r="K49" s="55" t="s">
        <v>344</v>
      </c>
      <c r="L49" s="11" t="s">
        <v>61</v>
      </c>
      <c r="M49" s="45" t="s">
        <v>345</v>
      </c>
      <c r="N49" s="12">
        <v>13117203</v>
      </c>
      <c r="O49" s="34" t="s">
        <v>346</v>
      </c>
      <c r="P49" s="73">
        <v>14.6655</v>
      </c>
      <c r="Q49" s="73">
        <v>-90.491200000000006</v>
      </c>
      <c r="R49" s="14">
        <v>44193</v>
      </c>
      <c r="S49" s="14">
        <v>44312</v>
      </c>
      <c r="T49" s="12">
        <v>120</v>
      </c>
      <c r="U49" s="12">
        <v>100</v>
      </c>
      <c r="V49" s="54" t="s">
        <v>347</v>
      </c>
      <c r="W49" s="54" t="s">
        <v>348</v>
      </c>
      <c r="X49" s="48">
        <v>1140000</v>
      </c>
      <c r="Y49" s="48">
        <v>364012.05000000005</v>
      </c>
      <c r="Z49" s="18">
        <f t="shared" si="8"/>
        <v>1504012.05</v>
      </c>
      <c r="AA49" s="16">
        <v>1353039.8</v>
      </c>
      <c r="AB49" s="17">
        <f t="shared" si="1"/>
        <v>150972.25</v>
      </c>
    </row>
    <row r="50" spans="1:28" ht="175.5" x14ac:dyDescent="0.25">
      <c r="A50" s="7">
        <v>49</v>
      </c>
      <c r="B50" s="8">
        <v>2020</v>
      </c>
      <c r="C50" s="8" t="s">
        <v>56</v>
      </c>
      <c r="D50" s="7" t="s">
        <v>270</v>
      </c>
      <c r="E50" s="34" t="s">
        <v>349</v>
      </c>
      <c r="F50" s="34" t="s">
        <v>102</v>
      </c>
      <c r="G50" s="34" t="s">
        <v>102</v>
      </c>
      <c r="H50" s="35">
        <v>1</v>
      </c>
      <c r="I50" s="10">
        <v>0.89965165749631526</v>
      </c>
      <c r="J50" s="9" t="s">
        <v>343</v>
      </c>
      <c r="K50" s="56"/>
      <c r="L50" s="11" t="s">
        <v>61</v>
      </c>
      <c r="M50" s="45" t="s">
        <v>345</v>
      </c>
      <c r="N50" s="12">
        <v>13117203</v>
      </c>
      <c r="O50" s="34" t="s">
        <v>346</v>
      </c>
      <c r="P50" s="76">
        <v>14.658200000000001</v>
      </c>
      <c r="Q50" s="73">
        <v>-90.49</v>
      </c>
      <c r="R50" s="14">
        <v>44193</v>
      </c>
      <c r="S50" s="14">
        <v>44312</v>
      </c>
      <c r="T50" s="12">
        <v>120</v>
      </c>
      <c r="U50" s="12">
        <v>100</v>
      </c>
      <c r="V50" s="54" t="s">
        <v>347</v>
      </c>
      <c r="W50" s="54" t="s">
        <v>348</v>
      </c>
      <c r="X50" s="48">
        <v>4270000</v>
      </c>
      <c r="Y50" s="48">
        <v>715323.3</v>
      </c>
      <c r="Z50" s="18">
        <f t="shared" si="8"/>
        <v>4985323.3</v>
      </c>
      <c r="AA50" s="16">
        <v>4485054.37</v>
      </c>
      <c r="AB50" s="17">
        <f t="shared" si="1"/>
        <v>500268.9299999997</v>
      </c>
    </row>
    <row r="51" spans="1:28" ht="273" x14ac:dyDescent="0.25">
      <c r="A51" s="7">
        <v>50</v>
      </c>
      <c r="B51" s="8">
        <v>2023</v>
      </c>
      <c r="C51" s="8" t="s">
        <v>56</v>
      </c>
      <c r="D51" s="7" t="s">
        <v>270</v>
      </c>
      <c r="E51" s="34" t="s">
        <v>350</v>
      </c>
      <c r="F51" s="34" t="s">
        <v>102</v>
      </c>
      <c r="G51" s="34" t="s">
        <v>102</v>
      </c>
      <c r="H51" s="35">
        <v>0.80430000000000001</v>
      </c>
      <c r="I51" s="10">
        <v>0.88571812238548486</v>
      </c>
      <c r="J51" s="9" t="s">
        <v>351</v>
      </c>
      <c r="K51" s="55" t="s">
        <v>352</v>
      </c>
      <c r="L51" s="11" t="s">
        <v>80</v>
      </c>
      <c r="M51" s="53" t="s">
        <v>353</v>
      </c>
      <c r="N51" s="12">
        <v>19375662</v>
      </c>
      <c r="O51" s="46" t="s">
        <v>354</v>
      </c>
      <c r="P51" s="76">
        <v>14.6576</v>
      </c>
      <c r="Q51" s="73">
        <v>-90.469399999999993</v>
      </c>
      <c r="R51" s="14">
        <v>45093</v>
      </c>
      <c r="S51" s="14">
        <v>45332</v>
      </c>
      <c r="T51" s="12">
        <v>240</v>
      </c>
      <c r="U51" s="12">
        <v>0</v>
      </c>
      <c r="V51" s="47" t="s">
        <v>355</v>
      </c>
      <c r="W51" s="54" t="s">
        <v>356</v>
      </c>
      <c r="X51" s="48">
        <v>1666176.51</v>
      </c>
      <c r="Y51" s="48">
        <v>0</v>
      </c>
      <c r="Z51" s="18">
        <f t="shared" si="8"/>
        <v>1666176.51</v>
      </c>
      <c r="AA51" s="16">
        <v>1475762.73</v>
      </c>
      <c r="AB51" s="17">
        <f t="shared" si="1"/>
        <v>190413.78000000003</v>
      </c>
    </row>
    <row r="52" spans="1:28" ht="214.5" x14ac:dyDescent="0.25">
      <c r="A52" s="7">
        <v>51</v>
      </c>
      <c r="B52" s="8">
        <v>2023</v>
      </c>
      <c r="C52" s="8" t="s">
        <v>56</v>
      </c>
      <c r="D52" s="7" t="s">
        <v>270</v>
      </c>
      <c r="E52" s="34" t="s">
        <v>357</v>
      </c>
      <c r="F52" s="34" t="s">
        <v>102</v>
      </c>
      <c r="G52" s="34" t="s">
        <v>102</v>
      </c>
      <c r="H52" s="35">
        <v>0.89380000000000004</v>
      </c>
      <c r="I52" s="10">
        <v>0.75379019741646203</v>
      </c>
      <c r="J52" s="9" t="s">
        <v>351</v>
      </c>
      <c r="K52" s="56"/>
      <c r="L52" s="11" t="s">
        <v>80</v>
      </c>
      <c r="M52" s="53" t="s">
        <v>353</v>
      </c>
      <c r="N52" s="12">
        <v>19375662</v>
      </c>
      <c r="O52" s="46" t="s">
        <v>354</v>
      </c>
      <c r="P52" s="73">
        <v>14.661099999999999</v>
      </c>
      <c r="Q52" s="73">
        <v>-90.445300000000003</v>
      </c>
      <c r="R52" s="14">
        <v>45093</v>
      </c>
      <c r="S52" s="14">
        <v>45332</v>
      </c>
      <c r="T52" s="12">
        <v>240</v>
      </c>
      <c r="U52" s="12">
        <v>0</v>
      </c>
      <c r="V52" s="47" t="s">
        <v>355</v>
      </c>
      <c r="W52" s="54" t="s">
        <v>356</v>
      </c>
      <c r="X52" s="48">
        <v>4365253.49</v>
      </c>
      <c r="Y52" s="48">
        <v>0</v>
      </c>
      <c r="Z52" s="18">
        <f t="shared" si="8"/>
        <v>4365253.49</v>
      </c>
      <c r="AA52" s="16">
        <v>3290485.29</v>
      </c>
      <c r="AB52" s="17">
        <f t="shared" si="1"/>
        <v>1074768.2000000002</v>
      </c>
    </row>
    <row r="53" spans="1:28" ht="156" x14ac:dyDescent="0.25">
      <c r="A53" s="7">
        <v>52</v>
      </c>
      <c r="B53" s="8">
        <v>2023</v>
      </c>
      <c r="C53" s="8" t="s">
        <v>56</v>
      </c>
      <c r="D53" s="7" t="s">
        <v>270</v>
      </c>
      <c r="E53" s="40" t="s">
        <v>358</v>
      </c>
      <c r="F53" s="40" t="s">
        <v>102</v>
      </c>
      <c r="G53" s="40" t="s">
        <v>102</v>
      </c>
      <c r="H53" s="49">
        <v>0.60489999999999999</v>
      </c>
      <c r="I53" s="22">
        <f t="shared" si="3"/>
        <v>0.89956324823396627</v>
      </c>
      <c r="J53" s="21" t="s">
        <v>359</v>
      </c>
      <c r="K53" s="57" t="s">
        <v>360</v>
      </c>
      <c r="L53" s="21" t="s">
        <v>80</v>
      </c>
      <c r="M53" s="40" t="s">
        <v>287</v>
      </c>
      <c r="N53" s="23">
        <v>19446098</v>
      </c>
      <c r="O53" s="49" t="s">
        <v>361</v>
      </c>
      <c r="P53" s="74">
        <v>14.651999999999999</v>
      </c>
      <c r="Q53" s="74">
        <v>-90.530299999999997</v>
      </c>
      <c r="R53" s="24">
        <v>45093</v>
      </c>
      <c r="S53" s="24">
        <v>45332</v>
      </c>
      <c r="T53" s="23">
        <v>240</v>
      </c>
      <c r="U53" s="23">
        <v>0</v>
      </c>
      <c r="V53" s="49" t="s">
        <v>362</v>
      </c>
      <c r="W53" s="40" t="s">
        <v>363</v>
      </c>
      <c r="X53" s="50">
        <v>1439664.09</v>
      </c>
      <c r="Y53" s="50">
        <v>413079.42</v>
      </c>
      <c r="Z53" s="26">
        <f t="shared" si="8"/>
        <v>1852743.51</v>
      </c>
      <c r="AA53" s="27">
        <v>1666659.97</v>
      </c>
      <c r="AB53" s="27">
        <f t="shared" si="1"/>
        <v>186083.54000000004</v>
      </c>
    </row>
    <row r="54" spans="1:28" ht="234" x14ac:dyDescent="0.25">
      <c r="A54" s="7">
        <v>53</v>
      </c>
      <c r="B54" s="8">
        <v>2023</v>
      </c>
      <c r="C54" s="8" t="s">
        <v>56</v>
      </c>
      <c r="D54" s="7" t="s">
        <v>270</v>
      </c>
      <c r="E54" s="40" t="s">
        <v>364</v>
      </c>
      <c r="F54" s="40" t="s">
        <v>102</v>
      </c>
      <c r="G54" s="40" t="s">
        <v>102</v>
      </c>
      <c r="H54" s="49">
        <v>0.48259999999999997</v>
      </c>
      <c r="I54" s="22">
        <f t="shared" si="3"/>
        <v>0.89984465813397108</v>
      </c>
      <c r="J54" s="21" t="s">
        <v>359</v>
      </c>
      <c r="K54" s="58"/>
      <c r="L54" s="21" t="s">
        <v>80</v>
      </c>
      <c r="M54" s="40" t="s">
        <v>287</v>
      </c>
      <c r="N54" s="23">
        <v>19446098</v>
      </c>
      <c r="O54" s="49" t="s">
        <v>361</v>
      </c>
      <c r="P54" s="74">
        <v>14.6525</v>
      </c>
      <c r="Q54" s="74">
        <v>-90.530600000000007</v>
      </c>
      <c r="R54" s="24">
        <v>45093</v>
      </c>
      <c r="S54" s="24">
        <v>45332</v>
      </c>
      <c r="T54" s="23">
        <v>240</v>
      </c>
      <c r="U54" s="23">
        <v>0</v>
      </c>
      <c r="V54" s="49" t="s">
        <v>362</v>
      </c>
      <c r="W54" s="40" t="s">
        <v>363</v>
      </c>
      <c r="X54" s="50">
        <v>2685335.91</v>
      </c>
      <c r="Y54" s="50">
        <v>409277.36</v>
      </c>
      <c r="Z54" s="26">
        <f t="shared" si="8"/>
        <v>3094613.27</v>
      </c>
      <c r="AA54" s="27">
        <v>2784671.22</v>
      </c>
      <c r="AB54" s="27">
        <f t="shared" si="1"/>
        <v>309942.04999999981</v>
      </c>
    </row>
    <row r="55" spans="1:28" ht="234" x14ac:dyDescent="0.25">
      <c r="A55" s="7">
        <v>54</v>
      </c>
      <c r="B55" s="8">
        <v>2023</v>
      </c>
      <c r="C55" s="8" t="s">
        <v>56</v>
      </c>
      <c r="D55" s="7" t="s">
        <v>270</v>
      </c>
      <c r="E55" s="34" t="s">
        <v>365</v>
      </c>
      <c r="F55" s="34" t="s">
        <v>102</v>
      </c>
      <c r="G55" s="34" t="s">
        <v>102</v>
      </c>
      <c r="H55" s="35">
        <v>0.8478</v>
      </c>
      <c r="I55" s="10">
        <v>0.91322254086076149</v>
      </c>
      <c r="J55" s="9" t="s">
        <v>366</v>
      </c>
      <c r="K55" s="55" t="s">
        <v>367</v>
      </c>
      <c r="L55" s="11" t="s">
        <v>80</v>
      </c>
      <c r="M55" s="53" t="s">
        <v>295</v>
      </c>
      <c r="N55" s="12">
        <v>19446330</v>
      </c>
      <c r="O55" s="46" t="s">
        <v>368</v>
      </c>
      <c r="P55" s="73">
        <v>14.6630775</v>
      </c>
      <c r="Q55" s="73">
        <v>-90.525619699999993</v>
      </c>
      <c r="R55" s="14">
        <v>45101</v>
      </c>
      <c r="S55" s="14">
        <v>45340</v>
      </c>
      <c r="T55" s="12">
        <v>240</v>
      </c>
      <c r="U55" s="13">
        <v>0</v>
      </c>
      <c r="V55" s="47" t="s">
        <v>355</v>
      </c>
      <c r="W55" s="54" t="s">
        <v>356</v>
      </c>
      <c r="X55" s="48">
        <v>2946902.37</v>
      </c>
      <c r="Y55" s="48">
        <v>0</v>
      </c>
      <c r="Z55" s="18">
        <f t="shared" si="8"/>
        <v>2946902.37</v>
      </c>
      <c r="AA55" s="16">
        <v>2691177.67</v>
      </c>
      <c r="AB55" s="17">
        <f t="shared" si="1"/>
        <v>255724.70000000019</v>
      </c>
    </row>
    <row r="56" spans="1:28" ht="195" x14ac:dyDescent="0.25">
      <c r="A56" s="7">
        <v>55</v>
      </c>
      <c r="B56" s="8">
        <v>2023</v>
      </c>
      <c r="C56" s="8" t="s">
        <v>56</v>
      </c>
      <c r="D56" s="7" t="s">
        <v>270</v>
      </c>
      <c r="E56" s="34" t="s">
        <v>369</v>
      </c>
      <c r="F56" s="34" t="s">
        <v>102</v>
      </c>
      <c r="G56" s="34" t="s">
        <v>102</v>
      </c>
      <c r="H56" s="35">
        <v>0.83850000000000002</v>
      </c>
      <c r="I56" s="10">
        <v>0.84299731558328272</v>
      </c>
      <c r="J56" s="9" t="s">
        <v>366</v>
      </c>
      <c r="K56" s="56"/>
      <c r="L56" s="11" t="s">
        <v>80</v>
      </c>
      <c r="M56" s="53" t="s">
        <v>295</v>
      </c>
      <c r="N56" s="12">
        <v>19446330</v>
      </c>
      <c r="O56" s="46" t="s">
        <v>368</v>
      </c>
      <c r="P56" s="73">
        <v>14.647399999999999</v>
      </c>
      <c r="Q56" s="73">
        <v>-90.493899999999996</v>
      </c>
      <c r="R56" s="14">
        <v>45101</v>
      </c>
      <c r="S56" s="14">
        <v>45340</v>
      </c>
      <c r="T56" s="12">
        <v>240</v>
      </c>
      <c r="U56" s="13">
        <v>0</v>
      </c>
      <c r="V56" s="47" t="s">
        <v>355</v>
      </c>
      <c r="W56" s="54" t="s">
        <v>356</v>
      </c>
      <c r="X56" s="48">
        <v>1718097.63</v>
      </c>
      <c r="Y56" s="48">
        <v>0</v>
      </c>
      <c r="Z56" s="18">
        <f t="shared" si="8"/>
        <v>1718097.63</v>
      </c>
      <c r="AA56" s="16">
        <v>1448351.69</v>
      </c>
      <c r="AB56" s="17">
        <f t="shared" si="1"/>
        <v>269745.93999999994</v>
      </c>
    </row>
    <row r="57" spans="1:28" ht="273" x14ac:dyDescent="0.25">
      <c r="A57" s="7">
        <v>56</v>
      </c>
      <c r="B57" s="8">
        <v>2023</v>
      </c>
      <c r="C57" s="8" t="s">
        <v>56</v>
      </c>
      <c r="D57" s="7" t="s">
        <v>270</v>
      </c>
      <c r="E57" s="34" t="s">
        <v>370</v>
      </c>
      <c r="F57" s="34" t="s">
        <v>92</v>
      </c>
      <c r="G57" s="34" t="s">
        <v>102</v>
      </c>
      <c r="H57" s="35">
        <v>0.25</v>
      </c>
      <c r="I57" s="10">
        <v>0.11411514260876672</v>
      </c>
      <c r="J57" s="9" t="s">
        <v>371</v>
      </c>
      <c r="K57" s="55" t="s">
        <v>372</v>
      </c>
      <c r="L57" s="11" t="s">
        <v>105</v>
      </c>
      <c r="M57" s="45" t="s">
        <v>373</v>
      </c>
      <c r="N57" s="12">
        <v>19446470</v>
      </c>
      <c r="O57" s="46" t="s">
        <v>374</v>
      </c>
      <c r="P57" s="73">
        <v>14.557048399999999</v>
      </c>
      <c r="Q57" s="73">
        <v>-90.619835699999996</v>
      </c>
      <c r="R57" s="14">
        <v>45099</v>
      </c>
      <c r="S57" s="14">
        <v>45338</v>
      </c>
      <c r="T57" s="12">
        <v>240</v>
      </c>
      <c r="U57" s="13">
        <v>0</v>
      </c>
      <c r="V57" s="47" t="s">
        <v>355</v>
      </c>
      <c r="W57" s="54" t="s">
        <v>356</v>
      </c>
      <c r="X57" s="48">
        <v>907241.56</v>
      </c>
      <c r="Y57" s="48">
        <v>0</v>
      </c>
      <c r="Z57" s="18">
        <f t="shared" si="8"/>
        <v>907241.56</v>
      </c>
      <c r="AA57" s="16">
        <v>103530</v>
      </c>
      <c r="AB57" s="17">
        <f t="shared" si="1"/>
        <v>803711.56</v>
      </c>
    </row>
    <row r="58" spans="1:28" ht="214.5" x14ac:dyDescent="0.25">
      <c r="A58" s="7">
        <v>57</v>
      </c>
      <c r="B58" s="8">
        <v>2023</v>
      </c>
      <c r="C58" s="8" t="s">
        <v>56</v>
      </c>
      <c r="D58" s="7" t="s">
        <v>270</v>
      </c>
      <c r="E58" s="34" t="s">
        <v>375</v>
      </c>
      <c r="F58" s="34" t="s">
        <v>92</v>
      </c>
      <c r="G58" s="34" t="s">
        <v>102</v>
      </c>
      <c r="H58" s="35">
        <v>0.52259999999999995</v>
      </c>
      <c r="I58" s="10">
        <v>0.28810208451143926</v>
      </c>
      <c r="J58" s="9" t="s">
        <v>371</v>
      </c>
      <c r="K58" s="59"/>
      <c r="L58" s="11" t="s">
        <v>105</v>
      </c>
      <c r="M58" s="45" t="s">
        <v>373</v>
      </c>
      <c r="N58" s="12">
        <v>19446470</v>
      </c>
      <c r="O58" s="46" t="s">
        <v>374</v>
      </c>
      <c r="P58" s="73">
        <v>14.530029300000001</v>
      </c>
      <c r="Q58" s="73">
        <v>-90.620055399999998</v>
      </c>
      <c r="R58" s="14">
        <v>45099</v>
      </c>
      <c r="S58" s="14">
        <v>45338</v>
      </c>
      <c r="T58" s="12">
        <v>240</v>
      </c>
      <c r="U58" s="13">
        <v>0</v>
      </c>
      <c r="V58" s="47" t="s">
        <v>355</v>
      </c>
      <c r="W58" s="54" t="s">
        <v>356</v>
      </c>
      <c r="X58" s="48">
        <v>3193968.56</v>
      </c>
      <c r="Y58" s="48">
        <v>0</v>
      </c>
      <c r="Z58" s="18">
        <f t="shared" si="8"/>
        <v>3193968.56</v>
      </c>
      <c r="AA58" s="16">
        <v>920189</v>
      </c>
      <c r="AB58" s="17">
        <f t="shared" si="1"/>
        <v>2273779.56</v>
      </c>
    </row>
    <row r="59" spans="1:28" ht="214.5" x14ac:dyDescent="0.25">
      <c r="A59" s="7">
        <v>58</v>
      </c>
      <c r="B59" s="8">
        <v>2023</v>
      </c>
      <c r="C59" s="8" t="s">
        <v>56</v>
      </c>
      <c r="D59" s="7" t="s">
        <v>270</v>
      </c>
      <c r="E59" s="34" t="s">
        <v>376</v>
      </c>
      <c r="F59" s="34" t="s">
        <v>92</v>
      </c>
      <c r="G59" s="34" t="s">
        <v>102</v>
      </c>
      <c r="H59" s="35">
        <v>0.7621</v>
      </c>
      <c r="I59" s="10">
        <v>0.25232343081462721</v>
      </c>
      <c r="J59" s="9" t="s">
        <v>377</v>
      </c>
      <c r="K59" s="56"/>
      <c r="L59" s="11" t="s">
        <v>105</v>
      </c>
      <c r="M59" s="45" t="s">
        <v>373</v>
      </c>
      <c r="N59" s="12">
        <v>19446470</v>
      </c>
      <c r="O59" s="46" t="s">
        <v>374</v>
      </c>
      <c r="P59" s="73">
        <v>14.5546443</v>
      </c>
      <c r="Q59" s="73">
        <v>-90.566697899999994</v>
      </c>
      <c r="R59" s="14">
        <v>45099</v>
      </c>
      <c r="S59" s="14">
        <v>45338</v>
      </c>
      <c r="T59" s="12">
        <v>240</v>
      </c>
      <c r="U59" s="13">
        <v>0</v>
      </c>
      <c r="V59" s="47" t="s">
        <v>355</v>
      </c>
      <c r="W59" s="54" t="s">
        <v>356</v>
      </c>
      <c r="X59" s="48">
        <v>2559589.88</v>
      </c>
      <c r="Y59" s="48">
        <v>0</v>
      </c>
      <c r="Z59" s="18">
        <f t="shared" si="8"/>
        <v>2559589.88</v>
      </c>
      <c r="AA59" s="16">
        <v>645844.5</v>
      </c>
      <c r="AB59" s="17">
        <f t="shared" si="1"/>
        <v>1913745.38</v>
      </c>
    </row>
    <row r="60" spans="1:28" ht="292.5" x14ac:dyDescent="0.25">
      <c r="A60" s="7">
        <v>59</v>
      </c>
      <c r="B60" s="8">
        <v>2023</v>
      </c>
      <c r="C60" s="8" t="s">
        <v>56</v>
      </c>
      <c r="D60" s="7" t="s">
        <v>270</v>
      </c>
      <c r="E60" s="40" t="s">
        <v>378</v>
      </c>
      <c r="F60" s="40" t="s">
        <v>92</v>
      </c>
      <c r="G60" s="40" t="s">
        <v>102</v>
      </c>
      <c r="H60" s="49">
        <v>0.74760000000000004</v>
      </c>
      <c r="I60" s="22">
        <f t="shared" si="3"/>
        <v>0.89688626725172982</v>
      </c>
      <c r="J60" s="21" t="s">
        <v>379</v>
      </c>
      <c r="K60" s="57" t="s">
        <v>380</v>
      </c>
      <c r="L60" s="21" t="s">
        <v>96</v>
      </c>
      <c r="M60" s="52" t="s">
        <v>381</v>
      </c>
      <c r="N60" s="23">
        <v>19446810</v>
      </c>
      <c r="O60" s="49" t="s">
        <v>382</v>
      </c>
      <c r="P60" s="74">
        <v>14.521800000000001</v>
      </c>
      <c r="Q60" s="74">
        <v>-90.5899</v>
      </c>
      <c r="R60" s="24">
        <v>45107</v>
      </c>
      <c r="S60" s="24">
        <v>45346</v>
      </c>
      <c r="T60" s="23">
        <v>240</v>
      </c>
      <c r="U60" s="23">
        <v>0</v>
      </c>
      <c r="V60" s="49" t="s">
        <v>362</v>
      </c>
      <c r="W60" s="40" t="s">
        <v>363</v>
      </c>
      <c r="X60" s="50">
        <v>1964036.73</v>
      </c>
      <c r="Y60" s="50">
        <v>95127.79</v>
      </c>
      <c r="Z60" s="26">
        <f t="shared" si="8"/>
        <v>2059164.52</v>
      </c>
      <c r="AA60" s="26">
        <v>1846836.38</v>
      </c>
      <c r="AB60" s="27">
        <f t="shared" si="1"/>
        <v>212328.14000000013</v>
      </c>
    </row>
    <row r="61" spans="1:28" ht="253.5" x14ac:dyDescent="0.25">
      <c r="A61" s="7">
        <v>60</v>
      </c>
      <c r="B61" s="8">
        <v>2023</v>
      </c>
      <c r="C61" s="8" t="s">
        <v>56</v>
      </c>
      <c r="D61" s="7" t="s">
        <v>270</v>
      </c>
      <c r="E61" s="40" t="s">
        <v>383</v>
      </c>
      <c r="F61" s="40" t="s">
        <v>92</v>
      </c>
      <c r="G61" s="40" t="s">
        <v>102</v>
      </c>
      <c r="H61" s="49">
        <v>0.65769999999999995</v>
      </c>
      <c r="I61" s="22">
        <f t="shared" si="3"/>
        <v>0.89631075369806112</v>
      </c>
      <c r="J61" s="21" t="s">
        <v>379</v>
      </c>
      <c r="K61" s="60"/>
      <c r="L61" s="21" t="s">
        <v>96</v>
      </c>
      <c r="M61" s="52" t="s">
        <v>381</v>
      </c>
      <c r="N61" s="23">
        <v>19446810</v>
      </c>
      <c r="O61" s="49" t="s">
        <v>382</v>
      </c>
      <c r="P61" s="74">
        <v>14.507</v>
      </c>
      <c r="Q61" s="74">
        <v>-90.595299999999995</v>
      </c>
      <c r="R61" s="24">
        <v>45107</v>
      </c>
      <c r="S61" s="24">
        <v>45346</v>
      </c>
      <c r="T61" s="23">
        <v>240</v>
      </c>
      <c r="U61" s="23">
        <v>0</v>
      </c>
      <c r="V61" s="49" t="s">
        <v>362</v>
      </c>
      <c r="W61" s="40" t="s">
        <v>363</v>
      </c>
      <c r="X61" s="50">
        <v>2045013.39</v>
      </c>
      <c r="Y61" s="50">
        <v>935395.1</v>
      </c>
      <c r="Z61" s="26">
        <f t="shared" si="8"/>
        <v>2980408.4899999998</v>
      </c>
      <c r="AA61" s="26">
        <v>2671372.1800000002</v>
      </c>
      <c r="AB61" s="27">
        <f t="shared" si="1"/>
        <v>309036.30999999959</v>
      </c>
    </row>
    <row r="62" spans="1:28" ht="351" x14ac:dyDescent="0.25">
      <c r="A62" s="7">
        <v>61</v>
      </c>
      <c r="B62" s="8">
        <v>2023</v>
      </c>
      <c r="C62" s="8" t="s">
        <v>56</v>
      </c>
      <c r="D62" s="7" t="s">
        <v>270</v>
      </c>
      <c r="E62" s="40" t="s">
        <v>384</v>
      </c>
      <c r="F62" s="40" t="s">
        <v>92</v>
      </c>
      <c r="G62" s="40" t="s">
        <v>102</v>
      </c>
      <c r="H62" s="49">
        <v>0.39750000000000002</v>
      </c>
      <c r="I62" s="22">
        <f t="shared" si="3"/>
        <v>0.85690515434519388</v>
      </c>
      <c r="J62" s="21" t="s">
        <v>379</v>
      </c>
      <c r="K62" s="58"/>
      <c r="L62" s="21" t="s">
        <v>96</v>
      </c>
      <c r="M62" s="52" t="s">
        <v>381</v>
      </c>
      <c r="N62" s="23">
        <v>19446810</v>
      </c>
      <c r="O62" s="49" t="s">
        <v>382</v>
      </c>
      <c r="P62" s="74">
        <v>14.5688382</v>
      </c>
      <c r="Q62" s="74">
        <v>-90.599292599999998</v>
      </c>
      <c r="R62" s="24">
        <v>45107</v>
      </c>
      <c r="S62" s="24">
        <v>45346</v>
      </c>
      <c r="T62" s="23">
        <v>240</v>
      </c>
      <c r="U62" s="23">
        <v>0</v>
      </c>
      <c r="V62" s="49" t="s">
        <v>362</v>
      </c>
      <c r="W62" s="40" t="s">
        <v>363</v>
      </c>
      <c r="X62" s="50">
        <v>977649.88</v>
      </c>
      <c r="Y62" s="50">
        <v>-44005</v>
      </c>
      <c r="Z62" s="26">
        <f t="shared" si="8"/>
        <v>933644.88</v>
      </c>
      <c r="AA62" s="26">
        <v>800045.11</v>
      </c>
      <c r="AB62" s="27">
        <f t="shared" si="1"/>
        <v>133599.77000000002</v>
      </c>
    </row>
    <row r="63" spans="1:28" ht="292.5" x14ac:dyDescent="0.25">
      <c r="A63" s="7">
        <v>62</v>
      </c>
      <c r="B63" s="8">
        <v>2023</v>
      </c>
      <c r="C63" s="8" t="s">
        <v>56</v>
      </c>
      <c r="D63" s="7" t="s">
        <v>270</v>
      </c>
      <c r="E63" s="40" t="s">
        <v>385</v>
      </c>
      <c r="F63" s="40" t="s">
        <v>386</v>
      </c>
      <c r="G63" s="40" t="s">
        <v>102</v>
      </c>
      <c r="H63" s="49">
        <v>0.1555</v>
      </c>
      <c r="I63" s="22">
        <f t="shared" si="3"/>
        <v>0</v>
      </c>
      <c r="J63" s="21" t="s">
        <v>387</v>
      </c>
      <c r="K63" s="57" t="s">
        <v>388</v>
      </c>
      <c r="L63" s="21" t="s">
        <v>71</v>
      </c>
      <c r="M63" s="40" t="s">
        <v>389</v>
      </c>
      <c r="N63" s="23">
        <v>19446861</v>
      </c>
      <c r="O63" s="49" t="s">
        <v>390</v>
      </c>
      <c r="P63" s="74">
        <v>14.465199999999999</v>
      </c>
      <c r="Q63" s="74">
        <v>-90.531000000000006</v>
      </c>
      <c r="R63" s="24">
        <v>45107</v>
      </c>
      <c r="S63" s="24">
        <v>45346</v>
      </c>
      <c r="T63" s="23">
        <v>240</v>
      </c>
      <c r="U63" s="23">
        <v>0</v>
      </c>
      <c r="V63" s="49" t="s">
        <v>391</v>
      </c>
      <c r="W63" s="40" t="s">
        <v>392</v>
      </c>
      <c r="X63" s="50">
        <v>1150810.29</v>
      </c>
      <c r="Y63" s="50">
        <v>0</v>
      </c>
      <c r="Z63" s="50">
        <v>1150810.29</v>
      </c>
      <c r="AA63" s="50">
        <v>0</v>
      </c>
      <c r="AB63" s="27">
        <f t="shared" si="1"/>
        <v>1150810.29</v>
      </c>
    </row>
    <row r="64" spans="1:28" ht="156" x14ac:dyDescent="0.25">
      <c r="A64" s="7">
        <v>63</v>
      </c>
      <c r="B64" s="8">
        <v>2023</v>
      </c>
      <c r="C64" s="8" t="s">
        <v>56</v>
      </c>
      <c r="D64" s="7" t="s">
        <v>270</v>
      </c>
      <c r="E64" s="40" t="s">
        <v>393</v>
      </c>
      <c r="F64" s="40" t="s">
        <v>386</v>
      </c>
      <c r="G64" s="40" t="s">
        <v>102</v>
      </c>
      <c r="H64" s="49">
        <v>0</v>
      </c>
      <c r="I64" s="22">
        <f t="shared" si="3"/>
        <v>0</v>
      </c>
      <c r="J64" s="21" t="s">
        <v>387</v>
      </c>
      <c r="K64" s="60"/>
      <c r="L64" s="21" t="s">
        <v>71</v>
      </c>
      <c r="M64" s="40" t="s">
        <v>389</v>
      </c>
      <c r="N64" s="23">
        <v>19446861</v>
      </c>
      <c r="O64" s="49" t="s">
        <v>390</v>
      </c>
      <c r="P64" s="74">
        <v>14.2781</v>
      </c>
      <c r="Q64" s="74">
        <v>-90.583699999999993</v>
      </c>
      <c r="R64" s="24">
        <v>45107</v>
      </c>
      <c r="S64" s="24">
        <v>45346</v>
      </c>
      <c r="T64" s="23">
        <v>240</v>
      </c>
      <c r="U64" s="23">
        <v>0</v>
      </c>
      <c r="V64" s="49" t="s">
        <v>391</v>
      </c>
      <c r="W64" s="40" t="s">
        <v>392</v>
      </c>
      <c r="X64" s="50">
        <v>1444153.53</v>
      </c>
      <c r="Y64" s="50">
        <v>0</v>
      </c>
      <c r="Z64" s="50">
        <v>1444153.53</v>
      </c>
      <c r="AA64" s="50">
        <v>0</v>
      </c>
      <c r="AB64" s="27">
        <f t="shared" si="1"/>
        <v>1444153.53</v>
      </c>
    </row>
    <row r="65" spans="1:28" ht="175.5" x14ac:dyDescent="0.25">
      <c r="A65" s="7">
        <v>64</v>
      </c>
      <c r="B65" s="8">
        <v>2023</v>
      </c>
      <c r="C65" s="8" t="s">
        <v>56</v>
      </c>
      <c r="D65" s="7" t="s">
        <v>270</v>
      </c>
      <c r="E65" s="40" t="s">
        <v>394</v>
      </c>
      <c r="F65" s="40" t="s">
        <v>386</v>
      </c>
      <c r="G65" s="40" t="s">
        <v>102</v>
      </c>
      <c r="H65" s="49">
        <v>0</v>
      </c>
      <c r="I65" s="22">
        <f t="shared" si="3"/>
        <v>0</v>
      </c>
      <c r="J65" s="21" t="s">
        <v>387</v>
      </c>
      <c r="K65" s="58"/>
      <c r="L65" s="21" t="s">
        <v>71</v>
      </c>
      <c r="M65" s="40" t="s">
        <v>389</v>
      </c>
      <c r="N65" s="23">
        <v>19446861</v>
      </c>
      <c r="O65" s="49" t="s">
        <v>390</v>
      </c>
      <c r="P65" s="74">
        <v>14.417899999999999</v>
      </c>
      <c r="Q65" s="74">
        <v>-90.494299999999996</v>
      </c>
      <c r="R65" s="24">
        <v>45107</v>
      </c>
      <c r="S65" s="24">
        <v>45346</v>
      </c>
      <c r="T65" s="23">
        <v>240</v>
      </c>
      <c r="U65" s="23">
        <v>0</v>
      </c>
      <c r="V65" s="49" t="s">
        <v>391</v>
      </c>
      <c r="W65" s="40" t="s">
        <v>392</v>
      </c>
      <c r="X65" s="50">
        <v>1077840.96</v>
      </c>
      <c r="Y65" s="50">
        <v>0</v>
      </c>
      <c r="Z65" s="50">
        <v>1077840.96</v>
      </c>
      <c r="AA65" s="50">
        <v>0</v>
      </c>
      <c r="AB65" s="27">
        <f t="shared" si="1"/>
        <v>1077840.96</v>
      </c>
    </row>
    <row r="66" spans="1:28" ht="312" x14ac:dyDescent="0.25">
      <c r="A66" s="7">
        <v>65</v>
      </c>
      <c r="B66" s="8">
        <v>2024</v>
      </c>
      <c r="C66" s="8" t="s">
        <v>28</v>
      </c>
      <c r="D66" s="7" t="s">
        <v>270</v>
      </c>
      <c r="E66" s="40" t="s">
        <v>395</v>
      </c>
      <c r="F66" s="40" t="s">
        <v>102</v>
      </c>
      <c r="G66" s="40" t="s">
        <v>102</v>
      </c>
      <c r="H66" s="49">
        <v>0</v>
      </c>
      <c r="I66" s="22">
        <f t="shared" si="3"/>
        <v>0</v>
      </c>
      <c r="J66" s="21" t="s">
        <v>396</v>
      </c>
      <c r="K66" s="21" t="s">
        <v>397</v>
      </c>
      <c r="L66" s="21" t="s">
        <v>96</v>
      </c>
      <c r="M66" s="40" t="s">
        <v>398</v>
      </c>
      <c r="N66" s="23">
        <v>20310013</v>
      </c>
      <c r="O66" s="40" t="s">
        <v>399</v>
      </c>
      <c r="P66" s="74">
        <v>14.647779999999999</v>
      </c>
      <c r="Q66" s="74">
        <v>-90.536342200000007</v>
      </c>
      <c r="R66" s="24">
        <v>45308</v>
      </c>
      <c r="S66" s="24">
        <v>45427</v>
      </c>
      <c r="T66" s="23">
        <v>120</v>
      </c>
      <c r="U66" s="23">
        <v>0</v>
      </c>
      <c r="V66" s="40" t="s">
        <v>210</v>
      </c>
      <c r="W66" s="25" t="s">
        <v>211</v>
      </c>
      <c r="X66" s="51">
        <v>7549022.5999999996</v>
      </c>
      <c r="Y66" s="51">
        <v>0</v>
      </c>
      <c r="Z66" s="51">
        <v>7549022.5999999996</v>
      </c>
      <c r="AA66" s="51">
        <v>0</v>
      </c>
      <c r="AB66" s="27">
        <f t="shared" si="1"/>
        <v>7549022.5999999996</v>
      </c>
    </row>
    <row r="67" spans="1:28" ht="156" x14ac:dyDescent="0.25">
      <c r="A67" s="7">
        <v>66</v>
      </c>
      <c r="B67" s="8">
        <v>2022</v>
      </c>
      <c r="C67" s="8" t="s">
        <v>56</v>
      </c>
      <c r="D67" s="7" t="s">
        <v>270</v>
      </c>
      <c r="E67" s="40" t="s">
        <v>400</v>
      </c>
      <c r="F67" s="40" t="s">
        <v>401</v>
      </c>
      <c r="G67" s="40" t="s">
        <v>111</v>
      </c>
      <c r="H67" s="49">
        <v>0.79769999999999996</v>
      </c>
      <c r="I67" s="22">
        <f t="shared" si="3"/>
        <v>0.90377103269121972</v>
      </c>
      <c r="J67" s="21" t="s">
        <v>402</v>
      </c>
      <c r="K67" s="57" t="s">
        <v>403</v>
      </c>
      <c r="L67" s="21" t="s">
        <v>105</v>
      </c>
      <c r="M67" s="40" t="s">
        <v>404</v>
      </c>
      <c r="N67" s="23">
        <v>18490565</v>
      </c>
      <c r="O67" s="40" t="s">
        <v>405</v>
      </c>
      <c r="P67" s="74">
        <v>15.607994700000001</v>
      </c>
      <c r="Q67" s="74">
        <v>-91.440571399999996</v>
      </c>
      <c r="R67" s="24">
        <v>44893</v>
      </c>
      <c r="S67" s="24">
        <v>44982</v>
      </c>
      <c r="T67" s="23">
        <v>90</v>
      </c>
      <c r="U67" s="23">
        <v>90</v>
      </c>
      <c r="V67" s="40" t="s">
        <v>406</v>
      </c>
      <c r="W67" s="25" t="s">
        <v>407</v>
      </c>
      <c r="X67" s="50">
        <v>1592687.03</v>
      </c>
      <c r="Y67" s="50">
        <v>277852.84000000003</v>
      </c>
      <c r="Z67" s="39">
        <f t="shared" ref="Z67:Z87" si="9">+X67+Y67</f>
        <v>1870539.87</v>
      </c>
      <c r="AA67" s="26">
        <v>1690539.75</v>
      </c>
      <c r="AB67" s="27">
        <f t="shared" ref="AB67:AB129" si="10">Z67-AA67</f>
        <v>180000.12000000011</v>
      </c>
    </row>
    <row r="68" spans="1:28" ht="273" x14ac:dyDescent="0.25">
      <c r="A68" s="7">
        <v>67</v>
      </c>
      <c r="B68" s="8">
        <v>2022</v>
      </c>
      <c r="C68" s="8" t="s">
        <v>56</v>
      </c>
      <c r="D68" s="7" t="s">
        <v>270</v>
      </c>
      <c r="E68" s="40" t="s">
        <v>408</v>
      </c>
      <c r="F68" s="40" t="s">
        <v>401</v>
      </c>
      <c r="G68" s="40" t="s">
        <v>111</v>
      </c>
      <c r="H68" s="49">
        <v>0.89219999999999999</v>
      </c>
      <c r="I68" s="22">
        <f t="shared" si="3"/>
        <v>0.96401374102327053</v>
      </c>
      <c r="J68" s="21" t="s">
        <v>402</v>
      </c>
      <c r="K68" s="60"/>
      <c r="L68" s="21" t="s">
        <v>105</v>
      </c>
      <c r="M68" s="40" t="s">
        <v>404</v>
      </c>
      <c r="N68" s="23">
        <v>18490565</v>
      </c>
      <c r="O68" s="40" t="s">
        <v>405</v>
      </c>
      <c r="P68" s="74">
        <v>15.5539843</v>
      </c>
      <c r="Q68" s="74">
        <v>-91.437876000000003</v>
      </c>
      <c r="R68" s="24">
        <v>44893</v>
      </c>
      <c r="S68" s="24">
        <v>44982</v>
      </c>
      <c r="T68" s="23">
        <v>90</v>
      </c>
      <c r="U68" s="23">
        <v>90</v>
      </c>
      <c r="V68" s="40" t="s">
        <v>406</v>
      </c>
      <c r="W68" s="25" t="s">
        <v>407</v>
      </c>
      <c r="X68" s="50">
        <v>295572.09999999998</v>
      </c>
      <c r="Y68" s="50">
        <v>294284.99</v>
      </c>
      <c r="Z68" s="39">
        <f t="shared" si="9"/>
        <v>589857.09</v>
      </c>
      <c r="AA68" s="26">
        <v>568630.34</v>
      </c>
      <c r="AB68" s="27">
        <f t="shared" si="10"/>
        <v>21226.75</v>
      </c>
    </row>
    <row r="69" spans="1:28" ht="195" x14ac:dyDescent="0.25">
      <c r="A69" s="7">
        <v>68</v>
      </c>
      <c r="B69" s="8">
        <v>2022</v>
      </c>
      <c r="C69" s="8" t="s">
        <v>56</v>
      </c>
      <c r="D69" s="7" t="s">
        <v>270</v>
      </c>
      <c r="E69" s="40" t="s">
        <v>409</v>
      </c>
      <c r="F69" s="40" t="s">
        <v>410</v>
      </c>
      <c r="G69" s="40" t="s">
        <v>111</v>
      </c>
      <c r="H69" s="49">
        <v>0.75049999999999994</v>
      </c>
      <c r="I69" s="22">
        <f t="shared" si="3"/>
        <v>0.87765820578917619</v>
      </c>
      <c r="J69" s="21" t="s">
        <v>402</v>
      </c>
      <c r="K69" s="58"/>
      <c r="L69" s="21" t="s">
        <v>105</v>
      </c>
      <c r="M69" s="40" t="s">
        <v>404</v>
      </c>
      <c r="N69" s="23">
        <v>18490565</v>
      </c>
      <c r="O69" s="40" t="s">
        <v>405</v>
      </c>
      <c r="P69" s="74">
        <v>15.828105799999999</v>
      </c>
      <c r="Q69" s="74">
        <v>-91.478391999999999</v>
      </c>
      <c r="R69" s="24">
        <v>44893</v>
      </c>
      <c r="S69" s="24">
        <v>44982</v>
      </c>
      <c r="T69" s="23">
        <v>90</v>
      </c>
      <c r="U69" s="23">
        <v>90</v>
      </c>
      <c r="V69" s="40" t="s">
        <v>406</v>
      </c>
      <c r="W69" s="25" t="s">
        <v>407</v>
      </c>
      <c r="X69" s="50">
        <v>1360154.52</v>
      </c>
      <c r="Y69" s="50">
        <v>645778.87</v>
      </c>
      <c r="Z69" s="39">
        <f t="shared" si="9"/>
        <v>2005933.3900000001</v>
      </c>
      <c r="AA69" s="26">
        <v>1760523.9</v>
      </c>
      <c r="AB69" s="27">
        <f t="shared" si="10"/>
        <v>245409.49000000022</v>
      </c>
    </row>
    <row r="70" spans="1:28" ht="175.5" x14ac:dyDescent="0.25">
      <c r="A70" s="7">
        <v>69</v>
      </c>
      <c r="B70" s="8">
        <v>2022</v>
      </c>
      <c r="C70" s="8" t="s">
        <v>56</v>
      </c>
      <c r="D70" s="7" t="s">
        <v>270</v>
      </c>
      <c r="E70" s="40" t="s">
        <v>411</v>
      </c>
      <c r="F70" s="40" t="s">
        <v>412</v>
      </c>
      <c r="G70" s="40" t="s">
        <v>412</v>
      </c>
      <c r="H70" s="49">
        <v>0.57999999999999996</v>
      </c>
      <c r="I70" s="22">
        <f t="shared" si="3"/>
        <v>0.88502634189607898</v>
      </c>
      <c r="J70" s="21" t="s">
        <v>413</v>
      </c>
      <c r="K70" s="57" t="s">
        <v>414</v>
      </c>
      <c r="L70" s="21" t="s">
        <v>96</v>
      </c>
      <c r="M70" s="52" t="s">
        <v>389</v>
      </c>
      <c r="N70" s="23">
        <v>17704928</v>
      </c>
      <c r="O70" s="40" t="s">
        <v>415</v>
      </c>
      <c r="P70" s="74">
        <v>14.5829298</v>
      </c>
      <c r="Q70" s="74">
        <v>-90.0962581</v>
      </c>
      <c r="R70" s="24">
        <v>44776</v>
      </c>
      <c r="S70" s="24">
        <v>44865</v>
      </c>
      <c r="T70" s="23">
        <v>90</v>
      </c>
      <c r="U70" s="23">
        <v>30</v>
      </c>
      <c r="V70" s="40" t="s">
        <v>416</v>
      </c>
      <c r="W70" s="40" t="s">
        <v>417</v>
      </c>
      <c r="X70" s="50">
        <v>914244.44</v>
      </c>
      <c r="Y70" s="50">
        <v>-47645.849999999991</v>
      </c>
      <c r="Z70" s="26">
        <f t="shared" si="9"/>
        <v>866598.59</v>
      </c>
      <c r="AA70" s="26">
        <v>766962.58</v>
      </c>
      <c r="AB70" s="27">
        <f t="shared" si="10"/>
        <v>99636.010000000009</v>
      </c>
    </row>
    <row r="71" spans="1:28" ht="156" x14ac:dyDescent="0.25">
      <c r="A71" s="7">
        <v>70</v>
      </c>
      <c r="B71" s="8">
        <v>2022</v>
      </c>
      <c r="C71" s="8" t="s">
        <v>56</v>
      </c>
      <c r="D71" s="7" t="s">
        <v>270</v>
      </c>
      <c r="E71" s="40" t="s">
        <v>418</v>
      </c>
      <c r="F71" s="40" t="s">
        <v>412</v>
      </c>
      <c r="G71" s="40" t="s">
        <v>412</v>
      </c>
      <c r="H71" s="49">
        <v>0.55000000000000004</v>
      </c>
      <c r="I71" s="22">
        <f t="shared" ref="I71:I120" si="11">AA71/Z71</f>
        <v>0.86055230093468271</v>
      </c>
      <c r="J71" s="21" t="s">
        <v>413</v>
      </c>
      <c r="K71" s="58"/>
      <c r="L71" s="21" t="s">
        <v>96</v>
      </c>
      <c r="M71" s="52" t="s">
        <v>389</v>
      </c>
      <c r="N71" s="23">
        <v>17704928</v>
      </c>
      <c r="O71" s="40" t="s">
        <v>415</v>
      </c>
      <c r="P71" s="74">
        <v>14.601954900000001</v>
      </c>
      <c r="Q71" s="74">
        <v>-90.057516100000001</v>
      </c>
      <c r="R71" s="24">
        <v>44776</v>
      </c>
      <c r="S71" s="24">
        <v>44865</v>
      </c>
      <c r="T71" s="23">
        <v>90</v>
      </c>
      <c r="U71" s="23">
        <v>30</v>
      </c>
      <c r="V71" s="40" t="s">
        <v>416</v>
      </c>
      <c r="W71" s="40" t="s">
        <v>417</v>
      </c>
      <c r="X71" s="50">
        <v>914244.42</v>
      </c>
      <c r="Y71" s="50">
        <v>27659.110000000015</v>
      </c>
      <c r="Z71" s="26">
        <f t="shared" si="9"/>
        <v>941903.53</v>
      </c>
      <c r="AA71" s="26">
        <v>810557.25</v>
      </c>
      <c r="AB71" s="27">
        <f t="shared" si="10"/>
        <v>131346.28000000003</v>
      </c>
    </row>
    <row r="72" spans="1:28" ht="136.5" x14ac:dyDescent="0.25">
      <c r="A72" s="7">
        <v>71</v>
      </c>
      <c r="B72" s="8">
        <v>2023</v>
      </c>
      <c r="C72" s="8" t="s">
        <v>56</v>
      </c>
      <c r="D72" s="7" t="s">
        <v>270</v>
      </c>
      <c r="E72" s="34" t="s">
        <v>419</v>
      </c>
      <c r="F72" s="34" t="s">
        <v>420</v>
      </c>
      <c r="G72" s="9" t="s">
        <v>148</v>
      </c>
      <c r="H72" s="35">
        <v>0.99</v>
      </c>
      <c r="I72" s="10">
        <v>0.81288903096951559</v>
      </c>
      <c r="J72" s="9" t="s">
        <v>421</v>
      </c>
      <c r="K72" s="55" t="s">
        <v>422</v>
      </c>
      <c r="L72" s="11" t="s">
        <v>127</v>
      </c>
      <c r="M72" s="34" t="s">
        <v>316</v>
      </c>
      <c r="N72" s="12">
        <v>16129415</v>
      </c>
      <c r="O72" s="46" t="s">
        <v>423</v>
      </c>
      <c r="P72" s="75">
        <v>16.515260699999999</v>
      </c>
      <c r="Q72" s="75">
        <v>-90.199143000000007</v>
      </c>
      <c r="R72" s="61">
        <v>44949</v>
      </c>
      <c r="S72" s="14">
        <v>45038</v>
      </c>
      <c r="T72" s="12">
        <v>90</v>
      </c>
      <c r="U72" s="12">
        <v>90</v>
      </c>
      <c r="V72" s="47" t="s">
        <v>424</v>
      </c>
      <c r="W72" s="47" t="s">
        <v>425</v>
      </c>
      <c r="X72" s="48">
        <v>1617913.8</v>
      </c>
      <c r="Y72" s="48">
        <f>133686.89-167721.57+355426.64</f>
        <v>321391.96000000002</v>
      </c>
      <c r="Z72" s="18">
        <f t="shared" si="9"/>
        <v>1939305.76</v>
      </c>
      <c r="AA72" s="18">
        <v>1576440.38</v>
      </c>
      <c r="AB72" s="17">
        <f t="shared" si="10"/>
        <v>362865.38000000012</v>
      </c>
    </row>
    <row r="73" spans="1:28" ht="117" x14ac:dyDescent="0.25">
      <c r="A73" s="7">
        <v>72</v>
      </c>
      <c r="B73" s="8">
        <v>2023</v>
      </c>
      <c r="C73" s="8" t="s">
        <v>56</v>
      </c>
      <c r="D73" s="7" t="s">
        <v>270</v>
      </c>
      <c r="E73" s="34" t="s">
        <v>426</v>
      </c>
      <c r="F73" s="34" t="s">
        <v>420</v>
      </c>
      <c r="G73" s="9" t="s">
        <v>148</v>
      </c>
      <c r="H73" s="35">
        <v>0.99</v>
      </c>
      <c r="I73" s="10">
        <v>0.64310629852637446</v>
      </c>
      <c r="J73" s="9" t="s">
        <v>421</v>
      </c>
      <c r="K73" s="56"/>
      <c r="L73" s="11" t="s">
        <v>127</v>
      </c>
      <c r="M73" s="34" t="s">
        <v>316</v>
      </c>
      <c r="N73" s="12">
        <v>16129415</v>
      </c>
      <c r="O73" s="46" t="s">
        <v>423</v>
      </c>
      <c r="P73" s="75">
        <v>16.519500000000001</v>
      </c>
      <c r="Q73" s="75">
        <v>-90.204499999999996</v>
      </c>
      <c r="R73" s="14">
        <v>44949</v>
      </c>
      <c r="S73" s="14">
        <v>45038</v>
      </c>
      <c r="T73" s="12">
        <v>90</v>
      </c>
      <c r="U73" s="12">
        <v>90</v>
      </c>
      <c r="V73" s="47" t="s">
        <v>424</v>
      </c>
      <c r="W73" s="47" t="s">
        <v>425</v>
      </c>
      <c r="X73" s="48">
        <v>3690957.2</v>
      </c>
      <c r="Y73" s="48">
        <f>-951808.31+951805.93-567501.16+567500.99-946081.94+946085.42-840804.11+840743.38-642763.79+117899.93+444107.1+981966.19-539177.92+377800.81</f>
        <v>739772.52</v>
      </c>
      <c r="Z73" s="18">
        <f t="shared" si="9"/>
        <v>4430729.7200000007</v>
      </c>
      <c r="AA73" s="18">
        <v>2849430.19</v>
      </c>
      <c r="AB73" s="17">
        <f t="shared" si="10"/>
        <v>1581299.5300000007</v>
      </c>
    </row>
    <row r="74" spans="1:28" ht="117" x14ac:dyDescent="0.25">
      <c r="A74" s="7">
        <v>73</v>
      </c>
      <c r="B74" s="8">
        <v>2021</v>
      </c>
      <c r="C74" s="8" t="s">
        <v>56</v>
      </c>
      <c r="D74" s="7" t="s">
        <v>270</v>
      </c>
      <c r="E74" s="40" t="s">
        <v>427</v>
      </c>
      <c r="F74" s="40" t="s">
        <v>428</v>
      </c>
      <c r="G74" s="21" t="s">
        <v>185</v>
      </c>
      <c r="H74" s="49">
        <v>0.39710000000000001</v>
      </c>
      <c r="I74" s="22">
        <f t="shared" si="11"/>
        <v>0.8925444932326918</v>
      </c>
      <c r="J74" s="21" t="s">
        <v>429</v>
      </c>
      <c r="K74" s="57" t="s">
        <v>430</v>
      </c>
      <c r="L74" s="21" t="s">
        <v>194</v>
      </c>
      <c r="M74" s="40" t="s">
        <v>431</v>
      </c>
      <c r="N74" s="23">
        <v>13787322</v>
      </c>
      <c r="O74" s="40" t="s">
        <v>432</v>
      </c>
      <c r="P74" s="74">
        <v>15.356400000000001</v>
      </c>
      <c r="Q74" s="74">
        <v>-90.741</v>
      </c>
      <c r="R74" s="24">
        <v>44323</v>
      </c>
      <c r="S74" s="24">
        <v>44412</v>
      </c>
      <c r="T74" s="23">
        <v>90</v>
      </c>
      <c r="U74" s="23">
        <v>75</v>
      </c>
      <c r="V74" s="40" t="s">
        <v>196</v>
      </c>
      <c r="W74" s="40" t="s">
        <v>197</v>
      </c>
      <c r="X74" s="50">
        <v>800000</v>
      </c>
      <c r="Y74" s="50">
        <v>14948.090000000002</v>
      </c>
      <c r="Z74" s="26">
        <f t="shared" si="9"/>
        <v>814948.09</v>
      </c>
      <c r="AA74" s="26">
        <v>727377.43</v>
      </c>
      <c r="AB74" s="27">
        <f t="shared" si="10"/>
        <v>87570.659999999916</v>
      </c>
    </row>
    <row r="75" spans="1:28" ht="117" x14ac:dyDescent="0.25">
      <c r="A75" s="7">
        <v>74</v>
      </c>
      <c r="B75" s="8">
        <v>2021</v>
      </c>
      <c r="C75" s="8" t="s">
        <v>56</v>
      </c>
      <c r="D75" s="7" t="s">
        <v>270</v>
      </c>
      <c r="E75" s="40" t="s">
        <v>433</v>
      </c>
      <c r="F75" s="40" t="s">
        <v>428</v>
      </c>
      <c r="G75" s="21" t="s">
        <v>185</v>
      </c>
      <c r="H75" s="49">
        <v>0.43859999999999999</v>
      </c>
      <c r="I75" s="22">
        <f t="shared" si="11"/>
        <v>0.93169997671261195</v>
      </c>
      <c r="J75" s="21" t="s">
        <v>429</v>
      </c>
      <c r="K75" s="60"/>
      <c r="L75" s="21" t="s">
        <v>194</v>
      </c>
      <c r="M75" s="40" t="s">
        <v>431</v>
      </c>
      <c r="N75" s="23">
        <v>13787322</v>
      </c>
      <c r="O75" s="40" t="s">
        <v>432</v>
      </c>
      <c r="P75" s="74">
        <v>15.3352</v>
      </c>
      <c r="Q75" s="74">
        <v>-90.678799999999995</v>
      </c>
      <c r="R75" s="24">
        <v>44323</v>
      </c>
      <c r="S75" s="24">
        <v>44412</v>
      </c>
      <c r="T75" s="23">
        <v>90</v>
      </c>
      <c r="U75" s="23">
        <v>75</v>
      </c>
      <c r="V75" s="40" t="s">
        <v>196</v>
      </c>
      <c r="W75" s="40" t="s">
        <v>197</v>
      </c>
      <c r="X75" s="50">
        <v>310000</v>
      </c>
      <c r="Y75" s="50">
        <v>-4598.6399999999994</v>
      </c>
      <c r="Z75" s="26">
        <f t="shared" si="9"/>
        <v>305401.36</v>
      </c>
      <c r="AA75" s="26">
        <v>284542.44</v>
      </c>
      <c r="AB75" s="27">
        <f t="shared" si="10"/>
        <v>20858.919999999984</v>
      </c>
    </row>
    <row r="76" spans="1:28" ht="117" x14ac:dyDescent="0.25">
      <c r="A76" s="7">
        <v>75</v>
      </c>
      <c r="B76" s="8">
        <v>2021</v>
      </c>
      <c r="C76" s="8" t="s">
        <v>56</v>
      </c>
      <c r="D76" s="7" t="s">
        <v>270</v>
      </c>
      <c r="E76" s="40" t="s">
        <v>434</v>
      </c>
      <c r="F76" s="40" t="s">
        <v>428</v>
      </c>
      <c r="G76" s="21" t="s">
        <v>185</v>
      </c>
      <c r="H76" s="49">
        <v>0.52700000000000002</v>
      </c>
      <c r="I76" s="22">
        <f t="shared" si="11"/>
        <v>0.89284076270295676</v>
      </c>
      <c r="J76" s="21" t="s">
        <v>429</v>
      </c>
      <c r="K76" s="60"/>
      <c r="L76" s="21" t="s">
        <v>194</v>
      </c>
      <c r="M76" s="40" t="s">
        <v>431</v>
      </c>
      <c r="N76" s="23">
        <v>13787322</v>
      </c>
      <c r="O76" s="40" t="s">
        <v>432</v>
      </c>
      <c r="P76" s="74">
        <v>15.3447</v>
      </c>
      <c r="Q76" s="74">
        <v>-90.649900000000002</v>
      </c>
      <c r="R76" s="24">
        <v>44323</v>
      </c>
      <c r="S76" s="24">
        <v>44412</v>
      </c>
      <c r="T76" s="23">
        <v>90</v>
      </c>
      <c r="U76" s="23">
        <v>75</v>
      </c>
      <c r="V76" s="40" t="s">
        <v>196</v>
      </c>
      <c r="W76" s="40" t="s">
        <v>197</v>
      </c>
      <c r="X76" s="50">
        <v>780000</v>
      </c>
      <c r="Y76" s="50">
        <v>182619.58000000002</v>
      </c>
      <c r="Z76" s="26">
        <f t="shared" si="9"/>
        <v>962619.58000000007</v>
      </c>
      <c r="AA76" s="26">
        <v>859466</v>
      </c>
      <c r="AB76" s="27">
        <f t="shared" si="10"/>
        <v>103153.58000000007</v>
      </c>
    </row>
    <row r="77" spans="1:28" ht="156" x14ac:dyDescent="0.25">
      <c r="A77" s="7">
        <v>76</v>
      </c>
      <c r="B77" s="8">
        <v>2021</v>
      </c>
      <c r="C77" s="8" t="s">
        <v>56</v>
      </c>
      <c r="D77" s="7" t="s">
        <v>270</v>
      </c>
      <c r="E77" s="40" t="s">
        <v>435</v>
      </c>
      <c r="F77" s="40" t="s">
        <v>428</v>
      </c>
      <c r="G77" s="21" t="s">
        <v>185</v>
      </c>
      <c r="H77" s="49">
        <v>0.36630000000000001</v>
      </c>
      <c r="I77" s="22">
        <f t="shared" si="11"/>
        <v>0.89935329785297002</v>
      </c>
      <c r="J77" s="21" t="s">
        <v>429</v>
      </c>
      <c r="K77" s="60"/>
      <c r="L77" s="21" t="s">
        <v>194</v>
      </c>
      <c r="M77" s="40" t="s">
        <v>431</v>
      </c>
      <c r="N77" s="23">
        <v>13787322</v>
      </c>
      <c r="O77" s="40" t="s">
        <v>432</v>
      </c>
      <c r="P77" s="74">
        <v>14.8069661</v>
      </c>
      <c r="Q77" s="74">
        <v>-91.404179799999994</v>
      </c>
      <c r="R77" s="24">
        <v>44323</v>
      </c>
      <c r="S77" s="24">
        <v>44412</v>
      </c>
      <c r="T77" s="23">
        <v>90</v>
      </c>
      <c r="U77" s="23">
        <v>75</v>
      </c>
      <c r="V77" s="40" t="s">
        <v>196</v>
      </c>
      <c r="W77" s="40" t="s">
        <v>197</v>
      </c>
      <c r="X77" s="50">
        <v>370000</v>
      </c>
      <c r="Y77" s="50">
        <v>102590.05</v>
      </c>
      <c r="Z77" s="26">
        <f t="shared" si="9"/>
        <v>472590.05</v>
      </c>
      <c r="AA77" s="26">
        <v>425025.42</v>
      </c>
      <c r="AB77" s="27">
        <f t="shared" si="10"/>
        <v>47564.630000000005</v>
      </c>
    </row>
    <row r="78" spans="1:28" ht="136.5" x14ac:dyDescent="0.25">
      <c r="A78" s="7">
        <v>77</v>
      </c>
      <c r="B78" s="8">
        <v>2021</v>
      </c>
      <c r="C78" s="8" t="s">
        <v>56</v>
      </c>
      <c r="D78" s="7" t="s">
        <v>270</v>
      </c>
      <c r="E78" s="40" t="s">
        <v>436</v>
      </c>
      <c r="F78" s="40" t="s">
        <v>428</v>
      </c>
      <c r="G78" s="21" t="s">
        <v>185</v>
      </c>
      <c r="H78" s="49">
        <v>0.2712</v>
      </c>
      <c r="I78" s="22">
        <f t="shared" si="11"/>
        <v>0.89790453286896166</v>
      </c>
      <c r="J78" s="21" t="s">
        <v>429</v>
      </c>
      <c r="K78" s="60"/>
      <c r="L78" s="21" t="s">
        <v>194</v>
      </c>
      <c r="M78" s="40" t="s">
        <v>431</v>
      </c>
      <c r="N78" s="23">
        <v>13787322</v>
      </c>
      <c r="O78" s="40" t="s">
        <v>432</v>
      </c>
      <c r="P78" s="74">
        <v>15.343</v>
      </c>
      <c r="Q78" s="74">
        <v>-90.668700000000001</v>
      </c>
      <c r="R78" s="24">
        <v>44323</v>
      </c>
      <c r="S78" s="24">
        <v>44412</v>
      </c>
      <c r="T78" s="23">
        <v>90</v>
      </c>
      <c r="U78" s="23">
        <v>75</v>
      </c>
      <c r="V78" s="40" t="s">
        <v>196</v>
      </c>
      <c r="W78" s="40" t="s">
        <v>197</v>
      </c>
      <c r="X78" s="50">
        <v>670000</v>
      </c>
      <c r="Y78" s="50">
        <v>144611.68</v>
      </c>
      <c r="Z78" s="26">
        <f t="shared" si="9"/>
        <v>814611.67999999993</v>
      </c>
      <c r="AA78" s="26">
        <v>731443.52</v>
      </c>
      <c r="AB78" s="27">
        <f t="shared" si="10"/>
        <v>83168.159999999916</v>
      </c>
    </row>
    <row r="79" spans="1:28" ht="136.5" x14ac:dyDescent="0.25">
      <c r="A79" s="7">
        <v>78</v>
      </c>
      <c r="B79" s="8">
        <v>2021</v>
      </c>
      <c r="C79" s="8" t="s">
        <v>56</v>
      </c>
      <c r="D79" s="7" t="s">
        <v>270</v>
      </c>
      <c r="E79" s="40" t="s">
        <v>437</v>
      </c>
      <c r="F79" s="40" t="s">
        <v>438</v>
      </c>
      <c r="G79" s="21" t="s">
        <v>185</v>
      </c>
      <c r="H79" s="49">
        <v>0.4002</v>
      </c>
      <c r="I79" s="22">
        <f t="shared" si="11"/>
        <v>0.89497506622133949</v>
      </c>
      <c r="J79" s="21" t="s">
        <v>429</v>
      </c>
      <c r="K79" s="58"/>
      <c r="L79" s="21" t="s">
        <v>194</v>
      </c>
      <c r="M79" s="40" t="s">
        <v>431</v>
      </c>
      <c r="N79" s="23">
        <v>13787322</v>
      </c>
      <c r="O79" s="40" t="s">
        <v>432</v>
      </c>
      <c r="P79" s="74">
        <v>15.200042</v>
      </c>
      <c r="Q79" s="74">
        <v>-91.212501500000002</v>
      </c>
      <c r="R79" s="24">
        <v>44323</v>
      </c>
      <c r="S79" s="24">
        <v>44412</v>
      </c>
      <c r="T79" s="23">
        <v>90</v>
      </c>
      <c r="U79" s="23">
        <v>75</v>
      </c>
      <c r="V79" s="40" t="s">
        <v>196</v>
      </c>
      <c r="W79" s="40" t="s">
        <v>197</v>
      </c>
      <c r="X79" s="50">
        <v>362000</v>
      </c>
      <c r="Y79" s="50">
        <v>189468.76</v>
      </c>
      <c r="Z79" s="26">
        <f t="shared" si="9"/>
        <v>551468.76</v>
      </c>
      <c r="AA79" s="26">
        <v>493550.79</v>
      </c>
      <c r="AB79" s="27">
        <f t="shared" si="10"/>
        <v>57917.97000000003</v>
      </c>
    </row>
    <row r="80" spans="1:28" ht="195" x14ac:dyDescent="0.25">
      <c r="A80" s="7">
        <v>79</v>
      </c>
      <c r="B80" s="8">
        <v>2022</v>
      </c>
      <c r="C80" s="8" t="s">
        <v>28</v>
      </c>
      <c r="D80" s="7" t="s">
        <v>270</v>
      </c>
      <c r="E80" s="40" t="s">
        <v>439</v>
      </c>
      <c r="F80" s="40" t="s">
        <v>440</v>
      </c>
      <c r="G80" s="21" t="s">
        <v>185</v>
      </c>
      <c r="H80" s="49">
        <v>0.1168</v>
      </c>
      <c r="I80" s="22">
        <f t="shared" si="11"/>
        <v>0.89983049658546355</v>
      </c>
      <c r="J80" s="21" t="s">
        <v>441</v>
      </c>
      <c r="K80" s="57" t="s">
        <v>442</v>
      </c>
      <c r="L80" s="21" t="s">
        <v>52</v>
      </c>
      <c r="M80" s="52" t="s">
        <v>404</v>
      </c>
      <c r="N80" s="23">
        <v>16423089</v>
      </c>
      <c r="O80" s="49" t="s">
        <v>443</v>
      </c>
      <c r="P80" s="74">
        <v>15.7391659</v>
      </c>
      <c r="Q80" s="74">
        <v>-91.112996300000006</v>
      </c>
      <c r="R80" s="24">
        <v>44918</v>
      </c>
      <c r="S80" s="24">
        <v>45007</v>
      </c>
      <c r="T80" s="23">
        <v>90</v>
      </c>
      <c r="U80" s="23">
        <v>90</v>
      </c>
      <c r="V80" s="49" t="s">
        <v>444</v>
      </c>
      <c r="W80" s="49" t="s">
        <v>445</v>
      </c>
      <c r="X80" s="50">
        <v>824225.4</v>
      </c>
      <c r="Y80" s="50">
        <v>56512.01999999999</v>
      </c>
      <c r="Z80" s="26">
        <f t="shared" si="9"/>
        <v>880737.42</v>
      </c>
      <c r="AA80" s="26">
        <v>792514.39</v>
      </c>
      <c r="AB80" s="27">
        <f t="shared" si="10"/>
        <v>88223.030000000028</v>
      </c>
    </row>
    <row r="81" spans="1:28" ht="156" x14ac:dyDescent="0.25">
      <c r="A81" s="7">
        <v>80</v>
      </c>
      <c r="B81" s="8">
        <v>2022</v>
      </c>
      <c r="C81" s="8" t="s">
        <v>28</v>
      </c>
      <c r="D81" s="7" t="s">
        <v>270</v>
      </c>
      <c r="E81" s="40" t="s">
        <v>446</v>
      </c>
      <c r="F81" s="40" t="s">
        <v>440</v>
      </c>
      <c r="G81" s="21" t="s">
        <v>185</v>
      </c>
      <c r="H81" s="49">
        <v>0.36</v>
      </c>
      <c r="I81" s="22">
        <f t="shared" si="11"/>
        <v>0.89994845822539205</v>
      </c>
      <c r="J81" s="21" t="s">
        <v>441</v>
      </c>
      <c r="K81" s="60"/>
      <c r="L81" s="21" t="s">
        <v>52</v>
      </c>
      <c r="M81" s="52" t="s">
        <v>404</v>
      </c>
      <c r="N81" s="23">
        <v>16423089</v>
      </c>
      <c r="O81" s="49" t="s">
        <v>443</v>
      </c>
      <c r="P81" s="74">
        <v>15.6955157</v>
      </c>
      <c r="Q81" s="74">
        <v>-90.986187000000001</v>
      </c>
      <c r="R81" s="24">
        <v>44918</v>
      </c>
      <c r="S81" s="24">
        <v>45007</v>
      </c>
      <c r="T81" s="23">
        <v>90</v>
      </c>
      <c r="U81" s="23">
        <v>90</v>
      </c>
      <c r="V81" s="49" t="s">
        <v>444</v>
      </c>
      <c r="W81" s="49" t="s">
        <v>445</v>
      </c>
      <c r="X81" s="50">
        <v>826582.96</v>
      </c>
      <c r="Y81" s="50">
        <v>619059.93000000005</v>
      </c>
      <c r="Z81" s="26">
        <f t="shared" si="9"/>
        <v>1445642.8900000001</v>
      </c>
      <c r="AA81" s="26">
        <v>1301004.0900000001</v>
      </c>
      <c r="AB81" s="27">
        <f t="shared" si="10"/>
        <v>144638.80000000005</v>
      </c>
    </row>
    <row r="82" spans="1:28" ht="175.5" x14ac:dyDescent="0.25">
      <c r="A82" s="7">
        <v>81</v>
      </c>
      <c r="B82" s="8">
        <v>2022</v>
      </c>
      <c r="C82" s="8" t="s">
        <v>28</v>
      </c>
      <c r="D82" s="7" t="s">
        <v>270</v>
      </c>
      <c r="E82" s="40" t="s">
        <v>447</v>
      </c>
      <c r="F82" s="40" t="s">
        <v>440</v>
      </c>
      <c r="G82" s="21" t="s">
        <v>185</v>
      </c>
      <c r="H82" s="49">
        <v>0.19769999999999999</v>
      </c>
      <c r="I82" s="22">
        <f t="shared" si="11"/>
        <v>0.89998553077851018</v>
      </c>
      <c r="J82" s="21" t="s">
        <v>441</v>
      </c>
      <c r="K82" s="60"/>
      <c r="L82" s="21" t="s">
        <v>52</v>
      </c>
      <c r="M82" s="52" t="s">
        <v>404</v>
      </c>
      <c r="N82" s="23">
        <v>16423089</v>
      </c>
      <c r="O82" s="49" t="s">
        <v>443</v>
      </c>
      <c r="P82" s="74">
        <v>15.664338000000001</v>
      </c>
      <c r="Q82" s="74">
        <v>-91.073359600000003</v>
      </c>
      <c r="R82" s="24">
        <v>44918</v>
      </c>
      <c r="S82" s="24">
        <v>45007</v>
      </c>
      <c r="T82" s="23">
        <v>90</v>
      </c>
      <c r="U82" s="23">
        <v>90</v>
      </c>
      <c r="V82" s="49" t="s">
        <v>444</v>
      </c>
      <c r="W82" s="49" t="s">
        <v>445</v>
      </c>
      <c r="X82" s="50">
        <v>1089623.24</v>
      </c>
      <c r="Y82" s="50">
        <v>0</v>
      </c>
      <c r="Z82" s="26">
        <f t="shared" si="9"/>
        <v>1089623.24</v>
      </c>
      <c r="AA82" s="26">
        <v>980645.15</v>
      </c>
      <c r="AB82" s="27">
        <f t="shared" si="10"/>
        <v>108978.08999999997</v>
      </c>
    </row>
    <row r="83" spans="1:28" ht="195" x14ac:dyDescent="0.25">
      <c r="A83" s="7">
        <v>82</v>
      </c>
      <c r="B83" s="8">
        <v>2022</v>
      </c>
      <c r="C83" s="8" t="s">
        <v>28</v>
      </c>
      <c r="D83" s="7" t="s">
        <v>270</v>
      </c>
      <c r="E83" s="40" t="s">
        <v>448</v>
      </c>
      <c r="F83" s="40" t="s">
        <v>440</v>
      </c>
      <c r="G83" s="21" t="s">
        <v>185</v>
      </c>
      <c r="H83" s="49">
        <v>0.2893</v>
      </c>
      <c r="I83" s="22">
        <f t="shared" si="11"/>
        <v>0.89993538779551119</v>
      </c>
      <c r="J83" s="21" t="s">
        <v>441</v>
      </c>
      <c r="K83" s="58"/>
      <c r="L83" s="21" t="s">
        <v>52</v>
      </c>
      <c r="M83" s="52" t="s">
        <v>404</v>
      </c>
      <c r="N83" s="23">
        <v>16423089</v>
      </c>
      <c r="O83" s="49" t="s">
        <v>443</v>
      </c>
      <c r="P83" s="74">
        <v>15.697703600000001</v>
      </c>
      <c r="Q83" s="74">
        <v>-91.154928999999996</v>
      </c>
      <c r="R83" s="24">
        <v>44918</v>
      </c>
      <c r="S83" s="24">
        <v>45007</v>
      </c>
      <c r="T83" s="23">
        <v>90</v>
      </c>
      <c r="U83" s="23">
        <v>90</v>
      </c>
      <c r="V83" s="49" t="s">
        <v>444</v>
      </c>
      <c r="W83" s="49" t="s">
        <v>445</v>
      </c>
      <c r="X83" s="50">
        <v>637449.23</v>
      </c>
      <c r="Y83" s="50">
        <v>0</v>
      </c>
      <c r="Z83" s="26">
        <f t="shared" si="9"/>
        <v>637449.23</v>
      </c>
      <c r="AA83" s="26">
        <v>573663.12</v>
      </c>
      <c r="AB83" s="27">
        <f t="shared" si="10"/>
        <v>63786.109999999986</v>
      </c>
    </row>
    <row r="84" spans="1:28" ht="156" x14ac:dyDescent="0.25">
      <c r="A84" s="7">
        <v>83</v>
      </c>
      <c r="B84" s="8">
        <v>2023</v>
      </c>
      <c r="C84" s="8" t="s">
        <v>28</v>
      </c>
      <c r="D84" s="7" t="s">
        <v>270</v>
      </c>
      <c r="E84" s="40" t="s">
        <v>449</v>
      </c>
      <c r="F84" s="40" t="s">
        <v>450</v>
      </c>
      <c r="G84" s="21" t="s">
        <v>185</v>
      </c>
      <c r="H84" s="49">
        <v>0.53569999999999995</v>
      </c>
      <c r="I84" s="22">
        <f t="shared" si="11"/>
        <v>0.89944139216322516</v>
      </c>
      <c r="J84" s="21" t="s">
        <v>451</v>
      </c>
      <c r="K84" s="57" t="s">
        <v>452</v>
      </c>
      <c r="L84" s="21" t="s">
        <v>61</v>
      </c>
      <c r="M84" s="40" t="s">
        <v>404</v>
      </c>
      <c r="N84" s="23">
        <v>19372116</v>
      </c>
      <c r="O84" s="49" t="s">
        <v>453</v>
      </c>
      <c r="P84" s="74">
        <v>15.4077561</v>
      </c>
      <c r="Q84" s="74">
        <v>-91.155741800000001</v>
      </c>
      <c r="R84" s="24">
        <v>45093</v>
      </c>
      <c r="S84" s="24">
        <v>45332</v>
      </c>
      <c r="T84" s="23">
        <v>240</v>
      </c>
      <c r="U84" s="23">
        <v>0</v>
      </c>
      <c r="V84" s="49" t="s">
        <v>329</v>
      </c>
      <c r="W84" s="40" t="s">
        <v>330</v>
      </c>
      <c r="X84" s="50">
        <v>2337257.65</v>
      </c>
      <c r="Y84" s="50">
        <v>1374734.67</v>
      </c>
      <c r="Z84" s="26">
        <f t="shared" si="9"/>
        <v>3711992.32</v>
      </c>
      <c r="AA84" s="26">
        <v>3338719.54</v>
      </c>
      <c r="AB84" s="27">
        <f t="shared" si="10"/>
        <v>373272.7799999998</v>
      </c>
    </row>
    <row r="85" spans="1:28" ht="156" x14ac:dyDescent="0.25">
      <c r="A85" s="7">
        <v>84</v>
      </c>
      <c r="B85" s="8">
        <v>2023</v>
      </c>
      <c r="C85" s="8" t="s">
        <v>28</v>
      </c>
      <c r="D85" s="7" t="s">
        <v>270</v>
      </c>
      <c r="E85" s="40" t="s">
        <v>454</v>
      </c>
      <c r="F85" s="40" t="s">
        <v>450</v>
      </c>
      <c r="G85" s="21" t="s">
        <v>185</v>
      </c>
      <c r="H85" s="49">
        <v>0.3987</v>
      </c>
      <c r="I85" s="22">
        <f t="shared" si="11"/>
        <v>0.89937777305839184</v>
      </c>
      <c r="J85" s="21" t="s">
        <v>451</v>
      </c>
      <c r="K85" s="60"/>
      <c r="L85" s="21" t="s">
        <v>61</v>
      </c>
      <c r="M85" s="40" t="s">
        <v>404</v>
      </c>
      <c r="N85" s="23">
        <v>19372116</v>
      </c>
      <c r="O85" s="49" t="s">
        <v>453</v>
      </c>
      <c r="P85" s="74">
        <v>15.5564286</v>
      </c>
      <c r="Q85" s="74">
        <v>-91.124447099999998</v>
      </c>
      <c r="R85" s="24">
        <v>45093</v>
      </c>
      <c r="S85" s="24">
        <v>45332</v>
      </c>
      <c r="T85" s="23">
        <v>240</v>
      </c>
      <c r="U85" s="23">
        <v>0</v>
      </c>
      <c r="V85" s="49" t="s">
        <v>329</v>
      </c>
      <c r="W85" s="40" t="s">
        <v>330</v>
      </c>
      <c r="X85" s="50">
        <v>1096134.48</v>
      </c>
      <c r="Y85" s="50">
        <v>124740.01</v>
      </c>
      <c r="Z85" s="26">
        <f t="shared" si="9"/>
        <v>1220874.49</v>
      </c>
      <c r="AA85" s="26">
        <v>1098027.3799999999</v>
      </c>
      <c r="AB85" s="27">
        <f t="shared" si="10"/>
        <v>122847.1100000001</v>
      </c>
    </row>
    <row r="86" spans="1:28" ht="156" x14ac:dyDescent="0.25">
      <c r="A86" s="7">
        <v>85</v>
      </c>
      <c r="B86" s="8">
        <v>2023</v>
      </c>
      <c r="C86" s="8" t="s">
        <v>28</v>
      </c>
      <c r="D86" s="7" t="s">
        <v>270</v>
      </c>
      <c r="E86" s="40" t="s">
        <v>455</v>
      </c>
      <c r="F86" s="40" t="s">
        <v>450</v>
      </c>
      <c r="G86" s="21" t="s">
        <v>185</v>
      </c>
      <c r="H86" s="49">
        <v>0.15179999999999999</v>
      </c>
      <c r="I86" s="22">
        <f t="shared" si="11"/>
        <v>0.89957372572483751</v>
      </c>
      <c r="J86" s="21" t="s">
        <v>451</v>
      </c>
      <c r="K86" s="60"/>
      <c r="L86" s="21" t="s">
        <v>61</v>
      </c>
      <c r="M86" s="40" t="s">
        <v>404</v>
      </c>
      <c r="N86" s="23">
        <v>19372116</v>
      </c>
      <c r="O86" s="49" t="s">
        <v>453</v>
      </c>
      <c r="P86" s="74">
        <v>15.5151763</v>
      </c>
      <c r="Q86" s="74">
        <v>-91.290671900000007</v>
      </c>
      <c r="R86" s="24">
        <v>45093</v>
      </c>
      <c r="S86" s="24">
        <v>45332</v>
      </c>
      <c r="T86" s="23">
        <v>240</v>
      </c>
      <c r="U86" s="23">
        <v>0</v>
      </c>
      <c r="V86" s="49" t="s">
        <v>329</v>
      </c>
      <c r="W86" s="40" t="s">
        <v>330</v>
      </c>
      <c r="X86" s="50">
        <v>970204.85</v>
      </c>
      <c r="Y86" s="50">
        <v>305450.36</v>
      </c>
      <c r="Z86" s="26">
        <f t="shared" si="9"/>
        <v>1275655.21</v>
      </c>
      <c r="AA86" s="26">
        <v>1147545.9099999999</v>
      </c>
      <c r="AB86" s="27">
        <f t="shared" si="10"/>
        <v>128109.30000000005</v>
      </c>
    </row>
    <row r="87" spans="1:28" ht="214.5" x14ac:dyDescent="0.25">
      <c r="A87" s="7">
        <v>86</v>
      </c>
      <c r="B87" s="8">
        <v>2023</v>
      </c>
      <c r="C87" s="8" t="s">
        <v>28</v>
      </c>
      <c r="D87" s="7" t="s">
        <v>270</v>
      </c>
      <c r="E87" s="40" t="s">
        <v>456</v>
      </c>
      <c r="F87" s="40" t="s">
        <v>457</v>
      </c>
      <c r="G87" s="21" t="s">
        <v>185</v>
      </c>
      <c r="H87" s="49">
        <v>0.34360000000000002</v>
      </c>
      <c r="I87" s="22">
        <f t="shared" si="11"/>
        <v>0.89988987173308921</v>
      </c>
      <c r="J87" s="21" t="s">
        <v>451</v>
      </c>
      <c r="K87" s="58"/>
      <c r="L87" s="21" t="s">
        <v>61</v>
      </c>
      <c r="M87" s="40" t="s">
        <v>404</v>
      </c>
      <c r="N87" s="23">
        <v>19372116</v>
      </c>
      <c r="O87" s="49" t="s">
        <v>453</v>
      </c>
      <c r="P87" s="74">
        <v>15.8675997</v>
      </c>
      <c r="Q87" s="74">
        <v>-90.887016200000005</v>
      </c>
      <c r="R87" s="24">
        <v>45093</v>
      </c>
      <c r="S87" s="24">
        <v>45332</v>
      </c>
      <c r="T87" s="23">
        <v>240</v>
      </c>
      <c r="U87" s="23">
        <v>0</v>
      </c>
      <c r="V87" s="49" t="s">
        <v>329</v>
      </c>
      <c r="W87" s="40" t="s">
        <v>330</v>
      </c>
      <c r="X87" s="50">
        <v>1166403.02</v>
      </c>
      <c r="Y87" s="50">
        <v>422607.73</v>
      </c>
      <c r="Z87" s="26">
        <f t="shared" si="9"/>
        <v>1589010.75</v>
      </c>
      <c r="AA87" s="26">
        <v>1429934.68</v>
      </c>
      <c r="AB87" s="27">
        <f t="shared" si="10"/>
        <v>159076.07000000007</v>
      </c>
    </row>
    <row r="88" spans="1:28" ht="117" x14ac:dyDescent="0.25">
      <c r="A88" s="7">
        <v>87</v>
      </c>
      <c r="B88" s="8">
        <v>2023</v>
      </c>
      <c r="C88" s="8" t="s">
        <v>56</v>
      </c>
      <c r="D88" s="7" t="s">
        <v>270</v>
      </c>
      <c r="E88" s="40" t="s">
        <v>458</v>
      </c>
      <c r="F88" s="40" t="s">
        <v>428</v>
      </c>
      <c r="G88" s="21" t="s">
        <v>185</v>
      </c>
      <c r="H88" s="49">
        <v>0.1</v>
      </c>
      <c r="I88" s="22">
        <f t="shared" si="11"/>
        <v>0</v>
      </c>
      <c r="J88" s="21" t="s">
        <v>459</v>
      </c>
      <c r="K88" s="57" t="s">
        <v>460</v>
      </c>
      <c r="L88" s="21" t="s">
        <v>194</v>
      </c>
      <c r="M88" s="40" t="s">
        <v>461</v>
      </c>
      <c r="N88" s="23">
        <v>19375255</v>
      </c>
      <c r="O88" s="49" t="s">
        <v>462</v>
      </c>
      <c r="P88" s="74">
        <v>15.3447</v>
      </c>
      <c r="Q88" s="74">
        <v>-90.770600000000002</v>
      </c>
      <c r="R88" s="24">
        <v>45093</v>
      </c>
      <c r="S88" s="24">
        <v>45332</v>
      </c>
      <c r="T88" s="23">
        <v>240</v>
      </c>
      <c r="U88" s="23">
        <v>0</v>
      </c>
      <c r="V88" s="49" t="s">
        <v>391</v>
      </c>
      <c r="W88" s="40" t="s">
        <v>392</v>
      </c>
      <c r="X88" s="50">
        <v>1333872.17</v>
      </c>
      <c r="Y88" s="50">
        <v>0</v>
      </c>
      <c r="Z88" s="50">
        <v>1333872.17</v>
      </c>
      <c r="AA88" s="50">
        <v>0</v>
      </c>
      <c r="AB88" s="27">
        <f t="shared" si="10"/>
        <v>1333872.17</v>
      </c>
    </row>
    <row r="89" spans="1:28" ht="136.5" x14ac:dyDescent="0.25">
      <c r="A89" s="7">
        <v>88</v>
      </c>
      <c r="B89" s="8">
        <v>2023</v>
      </c>
      <c r="C89" s="8" t="s">
        <v>56</v>
      </c>
      <c r="D89" s="7" t="s">
        <v>270</v>
      </c>
      <c r="E89" s="40" t="s">
        <v>463</v>
      </c>
      <c r="F89" s="40" t="s">
        <v>464</v>
      </c>
      <c r="G89" s="21" t="s">
        <v>185</v>
      </c>
      <c r="H89" s="49">
        <v>0</v>
      </c>
      <c r="I89" s="22">
        <f t="shared" si="11"/>
        <v>0</v>
      </c>
      <c r="J89" s="21" t="s">
        <v>459</v>
      </c>
      <c r="K89" s="58"/>
      <c r="L89" s="21" t="s">
        <v>194</v>
      </c>
      <c r="M89" s="40" t="s">
        <v>461</v>
      </c>
      <c r="N89" s="23">
        <v>19375255</v>
      </c>
      <c r="O89" s="49" t="s">
        <v>462</v>
      </c>
      <c r="P89" s="74">
        <v>15.234500000000001</v>
      </c>
      <c r="Q89" s="74">
        <v>-91.116799999999998</v>
      </c>
      <c r="R89" s="24">
        <v>45093</v>
      </c>
      <c r="S89" s="24">
        <v>45332</v>
      </c>
      <c r="T89" s="23">
        <v>240</v>
      </c>
      <c r="U89" s="23">
        <v>0</v>
      </c>
      <c r="V89" s="49" t="s">
        <v>391</v>
      </c>
      <c r="W89" s="40" t="s">
        <v>392</v>
      </c>
      <c r="X89" s="50">
        <v>1316323.52</v>
      </c>
      <c r="Y89" s="50">
        <v>0</v>
      </c>
      <c r="Z89" s="50">
        <v>1316323.52</v>
      </c>
      <c r="AA89" s="50">
        <v>0</v>
      </c>
      <c r="AB89" s="27">
        <f t="shared" si="10"/>
        <v>1316323.52</v>
      </c>
    </row>
    <row r="90" spans="1:28" ht="175.5" x14ac:dyDescent="0.25">
      <c r="A90" s="7">
        <v>89</v>
      </c>
      <c r="B90" s="62">
        <v>2022</v>
      </c>
      <c r="C90" s="62" t="s">
        <v>56</v>
      </c>
      <c r="D90" s="7" t="s">
        <v>270</v>
      </c>
      <c r="E90" s="34" t="s">
        <v>465</v>
      </c>
      <c r="F90" s="34" t="s">
        <v>466</v>
      </c>
      <c r="G90" s="34" t="s">
        <v>264</v>
      </c>
      <c r="H90" s="35">
        <v>0.29199999999999998</v>
      </c>
      <c r="I90" s="10">
        <f t="shared" si="11"/>
        <v>0.73785684942052843</v>
      </c>
      <c r="J90" s="9" t="s">
        <v>69</v>
      </c>
      <c r="K90" s="55" t="s">
        <v>467</v>
      </c>
      <c r="L90" s="11" t="s">
        <v>246</v>
      </c>
      <c r="M90" s="45" t="s">
        <v>468</v>
      </c>
      <c r="N90" s="12">
        <v>18490697</v>
      </c>
      <c r="O90" s="34" t="s">
        <v>469</v>
      </c>
      <c r="P90" s="73">
        <v>15.069699999999999</v>
      </c>
      <c r="Q90" s="73">
        <v>-91.710999999999999</v>
      </c>
      <c r="R90" s="63">
        <v>44893</v>
      </c>
      <c r="S90" s="63">
        <v>44982</v>
      </c>
      <c r="T90" s="12">
        <v>90</v>
      </c>
      <c r="U90" s="12">
        <v>90</v>
      </c>
      <c r="V90" s="54" t="s">
        <v>470</v>
      </c>
      <c r="W90" s="54" t="s">
        <v>471</v>
      </c>
      <c r="X90" s="48">
        <v>2003100.14</v>
      </c>
      <c r="Y90" s="48">
        <f>40603.64+407141.82+519507.4+18902.94</f>
        <v>986155.8</v>
      </c>
      <c r="Z90" s="16">
        <f t="shared" ref="Z90:Z129" si="12">+X90+Y90</f>
        <v>2989255.94</v>
      </c>
      <c r="AA90" s="16">
        <v>2205642.9700000002</v>
      </c>
      <c r="AB90" s="17">
        <f t="shared" si="10"/>
        <v>783612.96999999974</v>
      </c>
    </row>
    <row r="91" spans="1:28" ht="136.5" x14ac:dyDescent="0.25">
      <c r="A91" s="7">
        <v>90</v>
      </c>
      <c r="B91" s="62">
        <v>2022</v>
      </c>
      <c r="C91" s="62" t="s">
        <v>56</v>
      </c>
      <c r="D91" s="7" t="s">
        <v>270</v>
      </c>
      <c r="E91" s="34" t="s">
        <v>472</v>
      </c>
      <c r="F91" s="34" t="s">
        <v>466</v>
      </c>
      <c r="G91" s="34" t="s">
        <v>264</v>
      </c>
      <c r="H91" s="35">
        <v>0.44040000000000001</v>
      </c>
      <c r="I91" s="10">
        <f t="shared" si="11"/>
        <v>0.86315947638546342</v>
      </c>
      <c r="J91" s="9" t="s">
        <v>69</v>
      </c>
      <c r="K91" s="56"/>
      <c r="L91" s="11" t="s">
        <v>246</v>
      </c>
      <c r="M91" s="45" t="s">
        <v>468</v>
      </c>
      <c r="N91" s="12">
        <v>18490697</v>
      </c>
      <c r="O91" s="34" t="s">
        <v>469</v>
      </c>
      <c r="P91" s="73">
        <v>15.187900000000001</v>
      </c>
      <c r="Q91" s="73">
        <v>-91.760499999999993</v>
      </c>
      <c r="R91" s="14">
        <v>44893</v>
      </c>
      <c r="S91" s="14">
        <v>44982</v>
      </c>
      <c r="T91" s="12">
        <v>90</v>
      </c>
      <c r="U91" s="12">
        <v>90</v>
      </c>
      <c r="V91" s="54" t="s">
        <v>470</v>
      </c>
      <c r="W91" s="54" t="s">
        <v>471</v>
      </c>
      <c r="X91" s="48">
        <v>1877315.91</v>
      </c>
      <c r="Y91" s="48">
        <f>30576.44+244951.33+91916</f>
        <v>367443.76999999996</v>
      </c>
      <c r="Z91" s="16">
        <f t="shared" si="12"/>
        <v>2244759.6799999997</v>
      </c>
      <c r="AA91" s="16">
        <v>1937585.59</v>
      </c>
      <c r="AB91" s="17">
        <f t="shared" si="10"/>
        <v>307174.08999999962</v>
      </c>
    </row>
    <row r="92" spans="1:28" ht="195" x14ac:dyDescent="0.25">
      <c r="A92" s="7">
        <v>91</v>
      </c>
      <c r="B92" s="8">
        <v>2022</v>
      </c>
      <c r="C92" s="8" t="s">
        <v>56</v>
      </c>
      <c r="D92" s="7" t="s">
        <v>270</v>
      </c>
      <c r="E92" s="40" t="s">
        <v>473</v>
      </c>
      <c r="F92" s="40" t="s">
        <v>474</v>
      </c>
      <c r="G92" s="40" t="s">
        <v>264</v>
      </c>
      <c r="H92" s="49">
        <v>0.21</v>
      </c>
      <c r="I92" s="22">
        <f t="shared" si="11"/>
        <v>0.90002634621109301</v>
      </c>
      <c r="J92" s="21" t="s">
        <v>475</v>
      </c>
      <c r="K92" s="57" t="s">
        <v>476</v>
      </c>
      <c r="L92" s="21" t="s">
        <v>246</v>
      </c>
      <c r="M92" s="52" t="s">
        <v>477</v>
      </c>
      <c r="N92" s="23">
        <v>18490700</v>
      </c>
      <c r="O92" s="40" t="s">
        <v>478</v>
      </c>
      <c r="P92" s="74">
        <v>15.289400000000001</v>
      </c>
      <c r="Q92" s="74">
        <v>-91.805700000000002</v>
      </c>
      <c r="R92" s="24">
        <v>44893</v>
      </c>
      <c r="S92" s="24">
        <v>44982</v>
      </c>
      <c r="T92" s="23">
        <v>90</v>
      </c>
      <c r="U92" s="23">
        <v>296</v>
      </c>
      <c r="V92" s="40" t="s">
        <v>479</v>
      </c>
      <c r="W92" s="40" t="s">
        <v>480</v>
      </c>
      <c r="X92" s="50">
        <v>2306141.38</v>
      </c>
      <c r="Y92" s="50">
        <v>1030353.56</v>
      </c>
      <c r="Z92" s="26">
        <f t="shared" si="12"/>
        <v>3336494.94</v>
      </c>
      <c r="AA92" s="26">
        <v>3002933.35</v>
      </c>
      <c r="AB92" s="27">
        <f t="shared" si="10"/>
        <v>333561.58999999985</v>
      </c>
    </row>
    <row r="93" spans="1:28" ht="175.5" x14ac:dyDescent="0.25">
      <c r="A93" s="7">
        <v>92</v>
      </c>
      <c r="B93" s="8">
        <v>2022</v>
      </c>
      <c r="C93" s="8" t="s">
        <v>56</v>
      </c>
      <c r="D93" s="7" t="s">
        <v>270</v>
      </c>
      <c r="E93" s="40" t="s">
        <v>481</v>
      </c>
      <c r="F93" s="40" t="s">
        <v>474</v>
      </c>
      <c r="G93" s="40" t="s">
        <v>264</v>
      </c>
      <c r="H93" s="49">
        <v>0.9</v>
      </c>
      <c r="I93" s="22">
        <f t="shared" si="11"/>
        <v>0.89995734101061087</v>
      </c>
      <c r="J93" s="21" t="s">
        <v>475</v>
      </c>
      <c r="K93" s="60"/>
      <c r="L93" s="21" t="s">
        <v>246</v>
      </c>
      <c r="M93" s="52" t="s">
        <v>477</v>
      </c>
      <c r="N93" s="23">
        <v>18490700</v>
      </c>
      <c r="O93" s="40" t="s">
        <v>478</v>
      </c>
      <c r="P93" s="74">
        <v>15.2654</v>
      </c>
      <c r="Q93" s="74">
        <v>-91.951099999999997</v>
      </c>
      <c r="R93" s="24">
        <v>44893</v>
      </c>
      <c r="S93" s="24">
        <v>44982</v>
      </c>
      <c r="T93" s="23">
        <v>90</v>
      </c>
      <c r="U93" s="23">
        <v>296</v>
      </c>
      <c r="V93" s="40" t="s">
        <v>479</v>
      </c>
      <c r="W93" s="40" t="s">
        <v>480</v>
      </c>
      <c r="X93" s="50">
        <v>1289770.33</v>
      </c>
      <c r="Y93" s="50">
        <v>426046.22</v>
      </c>
      <c r="Z93" s="26">
        <f t="shared" si="12"/>
        <v>1715816.55</v>
      </c>
      <c r="AA93" s="26">
        <v>1544161.7</v>
      </c>
      <c r="AB93" s="27">
        <f t="shared" si="10"/>
        <v>171654.85000000009</v>
      </c>
    </row>
    <row r="94" spans="1:28" ht="195" x14ac:dyDescent="0.25">
      <c r="A94" s="7">
        <v>93</v>
      </c>
      <c r="B94" s="8">
        <v>2022</v>
      </c>
      <c r="C94" s="8" t="s">
        <v>56</v>
      </c>
      <c r="D94" s="7" t="s">
        <v>270</v>
      </c>
      <c r="E94" s="40" t="s">
        <v>482</v>
      </c>
      <c r="F94" s="40" t="s">
        <v>474</v>
      </c>
      <c r="G94" s="40" t="s">
        <v>264</v>
      </c>
      <c r="H94" s="49">
        <v>0.57999999999999996</v>
      </c>
      <c r="I94" s="22">
        <f t="shared" si="11"/>
        <v>0.89998872455528567</v>
      </c>
      <c r="J94" s="21" t="s">
        <v>475</v>
      </c>
      <c r="K94" s="58"/>
      <c r="L94" s="21" t="s">
        <v>246</v>
      </c>
      <c r="M94" s="52" t="s">
        <v>477</v>
      </c>
      <c r="N94" s="23">
        <v>18490700</v>
      </c>
      <c r="O94" s="40" t="s">
        <v>478</v>
      </c>
      <c r="P94" s="74">
        <v>15.2362</v>
      </c>
      <c r="Q94" s="74">
        <v>-91.918499999999995</v>
      </c>
      <c r="R94" s="24">
        <v>44893</v>
      </c>
      <c r="S94" s="24">
        <v>44982</v>
      </c>
      <c r="T94" s="23">
        <v>90</v>
      </c>
      <c r="U94" s="23">
        <v>296</v>
      </c>
      <c r="V94" s="40" t="s">
        <v>479</v>
      </c>
      <c r="W94" s="40" t="s">
        <v>480</v>
      </c>
      <c r="X94" s="50">
        <v>2341568.96</v>
      </c>
      <c r="Y94" s="50">
        <v>868149.23</v>
      </c>
      <c r="Z94" s="26">
        <f t="shared" si="12"/>
        <v>3209718.19</v>
      </c>
      <c r="AA94" s="26">
        <v>2888710.18</v>
      </c>
      <c r="AB94" s="27">
        <f t="shared" si="10"/>
        <v>321008.00999999978</v>
      </c>
    </row>
    <row r="95" spans="1:28" ht="312" x14ac:dyDescent="0.25">
      <c r="A95" s="7">
        <v>94</v>
      </c>
      <c r="B95" s="8">
        <v>2023</v>
      </c>
      <c r="C95" s="8" t="s">
        <v>56</v>
      </c>
      <c r="D95" s="7" t="s">
        <v>270</v>
      </c>
      <c r="E95" s="34" t="s">
        <v>483</v>
      </c>
      <c r="F95" s="34" t="s">
        <v>484</v>
      </c>
      <c r="G95" s="34" t="s">
        <v>485</v>
      </c>
      <c r="H95" s="35">
        <v>1</v>
      </c>
      <c r="I95" s="10">
        <v>0.88462926199530778</v>
      </c>
      <c r="J95" s="9" t="s">
        <v>486</v>
      </c>
      <c r="K95" s="9" t="s">
        <v>487</v>
      </c>
      <c r="L95" s="11" t="s">
        <v>120</v>
      </c>
      <c r="M95" s="53" t="s">
        <v>276</v>
      </c>
      <c r="N95" s="12">
        <v>19312121</v>
      </c>
      <c r="O95" s="46" t="s">
        <v>488</v>
      </c>
      <c r="P95" s="73">
        <v>14.754</v>
      </c>
      <c r="Q95" s="73">
        <v>-90.411900000000003</v>
      </c>
      <c r="R95" s="14">
        <v>45072</v>
      </c>
      <c r="S95" s="14">
        <v>45311</v>
      </c>
      <c r="T95" s="12">
        <v>240</v>
      </c>
      <c r="U95" s="12">
        <v>0</v>
      </c>
      <c r="V95" s="47" t="s">
        <v>489</v>
      </c>
      <c r="W95" s="54" t="s">
        <v>490</v>
      </c>
      <c r="X95" s="48">
        <v>1585507.67</v>
      </c>
      <c r="Y95" s="48">
        <v>0</v>
      </c>
      <c r="Z95" s="18">
        <f t="shared" si="12"/>
        <v>1585507.67</v>
      </c>
      <c r="AA95" s="16">
        <v>1402586.48</v>
      </c>
      <c r="AB95" s="17">
        <f t="shared" si="10"/>
        <v>182921.18999999994</v>
      </c>
    </row>
    <row r="96" spans="1:28" ht="175.5" x14ac:dyDescent="0.25">
      <c r="A96" s="7">
        <v>95</v>
      </c>
      <c r="B96" s="8">
        <v>2023</v>
      </c>
      <c r="C96" s="8" t="s">
        <v>56</v>
      </c>
      <c r="D96" s="7" t="s">
        <v>270</v>
      </c>
      <c r="E96" s="34" t="s">
        <v>491</v>
      </c>
      <c r="F96" s="34" t="s">
        <v>492</v>
      </c>
      <c r="G96" s="34" t="s">
        <v>243</v>
      </c>
      <c r="H96" s="35">
        <v>0.75</v>
      </c>
      <c r="I96" s="10">
        <f t="shared" si="11"/>
        <v>0.58633127444560695</v>
      </c>
      <c r="J96" s="55" t="s">
        <v>493</v>
      </c>
      <c r="K96" s="55" t="s">
        <v>494</v>
      </c>
      <c r="L96" s="11" t="s">
        <v>71</v>
      </c>
      <c r="M96" s="53" t="s">
        <v>495</v>
      </c>
      <c r="N96" s="12">
        <v>19372779</v>
      </c>
      <c r="O96" s="46" t="s">
        <v>496</v>
      </c>
      <c r="P96" s="73">
        <v>14.8436</v>
      </c>
      <c r="Q96" s="73">
        <v>-89.8215</v>
      </c>
      <c r="R96" s="14">
        <v>45099</v>
      </c>
      <c r="S96" s="14">
        <v>45338</v>
      </c>
      <c r="T96" s="12">
        <v>240</v>
      </c>
      <c r="U96" s="12">
        <v>0</v>
      </c>
      <c r="V96" s="47" t="s">
        <v>303</v>
      </c>
      <c r="W96" s="54" t="s">
        <v>304</v>
      </c>
      <c r="X96" s="48">
        <v>300225.21000000002</v>
      </c>
      <c r="Y96" s="48">
        <v>0</v>
      </c>
      <c r="Z96" s="16">
        <f t="shared" si="12"/>
        <v>300225.21000000002</v>
      </c>
      <c r="AA96" s="16">
        <v>176031.43</v>
      </c>
      <c r="AB96" s="17">
        <f t="shared" si="10"/>
        <v>124193.78000000003</v>
      </c>
    </row>
    <row r="97" spans="1:28" ht="117" x14ac:dyDescent="0.25">
      <c r="A97" s="7">
        <v>96</v>
      </c>
      <c r="B97" s="8">
        <v>2023</v>
      </c>
      <c r="C97" s="8" t="s">
        <v>56</v>
      </c>
      <c r="D97" s="7" t="s">
        <v>270</v>
      </c>
      <c r="E97" s="34" t="s">
        <v>497</v>
      </c>
      <c r="F97" s="34" t="s">
        <v>498</v>
      </c>
      <c r="G97" s="34" t="s">
        <v>243</v>
      </c>
      <c r="H97" s="35">
        <v>0.9</v>
      </c>
      <c r="I97" s="10">
        <f t="shared" si="11"/>
        <v>0.7092588187527249</v>
      </c>
      <c r="J97" s="59"/>
      <c r="K97" s="59"/>
      <c r="L97" s="11" t="s">
        <v>71</v>
      </c>
      <c r="M97" s="53" t="s">
        <v>495</v>
      </c>
      <c r="N97" s="12">
        <v>19372779</v>
      </c>
      <c r="O97" s="46" t="s">
        <v>496</v>
      </c>
      <c r="P97" s="73">
        <v>14.8811</v>
      </c>
      <c r="Q97" s="73">
        <v>-89.6845</v>
      </c>
      <c r="R97" s="14">
        <v>45099</v>
      </c>
      <c r="S97" s="14">
        <v>45338</v>
      </c>
      <c r="T97" s="12">
        <v>240</v>
      </c>
      <c r="U97" s="12">
        <v>0</v>
      </c>
      <c r="V97" s="47" t="s">
        <v>303</v>
      </c>
      <c r="W97" s="54" t="s">
        <v>304</v>
      </c>
      <c r="X97" s="48">
        <v>1648102.68</v>
      </c>
      <c r="Y97" s="48">
        <v>0</v>
      </c>
      <c r="Z97" s="16">
        <f t="shared" si="12"/>
        <v>1648102.68</v>
      </c>
      <c r="AA97" s="16">
        <v>1168931.3600000001</v>
      </c>
      <c r="AB97" s="17">
        <f t="shared" si="10"/>
        <v>479171.31999999983</v>
      </c>
    </row>
    <row r="98" spans="1:28" ht="117" x14ac:dyDescent="0.25">
      <c r="A98" s="7">
        <v>97</v>
      </c>
      <c r="B98" s="8">
        <v>2023</v>
      </c>
      <c r="C98" s="8" t="s">
        <v>56</v>
      </c>
      <c r="D98" s="7" t="s">
        <v>270</v>
      </c>
      <c r="E98" s="34" t="s">
        <v>499</v>
      </c>
      <c r="F98" s="34" t="s">
        <v>243</v>
      </c>
      <c r="G98" s="34" t="s">
        <v>243</v>
      </c>
      <c r="H98" s="35">
        <v>0.2</v>
      </c>
      <c r="I98" s="10">
        <f t="shared" si="11"/>
        <v>0.59006930703875238</v>
      </c>
      <c r="J98" s="56"/>
      <c r="K98" s="56"/>
      <c r="L98" s="11" t="s">
        <v>71</v>
      </c>
      <c r="M98" s="53" t="s">
        <v>495</v>
      </c>
      <c r="N98" s="12">
        <v>19372779</v>
      </c>
      <c r="O98" s="46" t="s">
        <v>496</v>
      </c>
      <c r="P98" s="75">
        <v>14.967700000000001</v>
      </c>
      <c r="Q98" s="75">
        <v>-89.363100000000003</v>
      </c>
      <c r="R98" s="14">
        <v>45099</v>
      </c>
      <c r="S98" s="14">
        <v>45338</v>
      </c>
      <c r="T98" s="12">
        <v>240</v>
      </c>
      <c r="U98" s="12">
        <v>0</v>
      </c>
      <c r="V98" s="47" t="s">
        <v>303</v>
      </c>
      <c r="W98" s="54" t="s">
        <v>304</v>
      </c>
      <c r="X98" s="48">
        <v>734837.34</v>
      </c>
      <c r="Y98" s="48">
        <v>0</v>
      </c>
      <c r="Z98" s="16">
        <f t="shared" si="12"/>
        <v>734837.34</v>
      </c>
      <c r="AA98" s="16">
        <v>433604.96</v>
      </c>
      <c r="AB98" s="17">
        <f t="shared" si="10"/>
        <v>301232.37999999995</v>
      </c>
    </row>
    <row r="99" spans="1:28" ht="156" x14ac:dyDescent="0.25">
      <c r="A99" s="7">
        <v>98</v>
      </c>
      <c r="B99" s="8">
        <v>2024</v>
      </c>
      <c r="C99" s="8" t="s">
        <v>56</v>
      </c>
      <c r="D99" s="7" t="s">
        <v>270</v>
      </c>
      <c r="E99" s="34" t="s">
        <v>500</v>
      </c>
      <c r="F99" s="34" t="s">
        <v>501</v>
      </c>
      <c r="G99" s="34" t="s">
        <v>485</v>
      </c>
      <c r="H99" s="35">
        <v>1</v>
      </c>
      <c r="I99" s="10">
        <f t="shared" si="11"/>
        <v>0.78249324018714572</v>
      </c>
      <c r="J99" s="9" t="s">
        <v>502</v>
      </c>
      <c r="K99" s="9" t="s">
        <v>503</v>
      </c>
      <c r="L99" s="11" t="s">
        <v>80</v>
      </c>
      <c r="M99" s="34" t="s">
        <v>504</v>
      </c>
      <c r="N99" s="12">
        <v>23297018</v>
      </c>
      <c r="O99" s="64" t="s">
        <v>505</v>
      </c>
      <c r="P99" s="77">
        <v>14.241472</v>
      </c>
      <c r="Q99" s="77">
        <v>-90.255499999999998</v>
      </c>
      <c r="R99" s="14">
        <v>45568</v>
      </c>
      <c r="S99" s="14">
        <v>45747</v>
      </c>
      <c r="T99" s="12">
        <v>180</v>
      </c>
      <c r="U99" s="12">
        <v>180</v>
      </c>
      <c r="V99" s="47" t="s">
        <v>506</v>
      </c>
      <c r="W99" s="54" t="s">
        <v>507</v>
      </c>
      <c r="X99" s="48">
        <v>744870.27</v>
      </c>
      <c r="Y99" s="48">
        <f>-253248.31+70968.18+104030.66-30295.01+23733.59+21475.76</f>
        <v>-63335.130000000005</v>
      </c>
      <c r="Z99" s="18">
        <f t="shared" si="12"/>
        <v>681535.14</v>
      </c>
      <c r="AA99" s="18">
        <v>533296.64000000001</v>
      </c>
      <c r="AB99" s="17">
        <f t="shared" si="10"/>
        <v>148238.5</v>
      </c>
    </row>
    <row r="100" spans="1:28" ht="214.5" x14ac:dyDescent="0.25">
      <c r="A100" s="7">
        <v>99</v>
      </c>
      <c r="B100" s="8">
        <v>2025</v>
      </c>
      <c r="C100" s="8" t="s">
        <v>56</v>
      </c>
      <c r="D100" s="7" t="s">
        <v>270</v>
      </c>
      <c r="E100" s="34" t="s">
        <v>508</v>
      </c>
      <c r="F100" s="34" t="s">
        <v>509</v>
      </c>
      <c r="G100" s="34" t="s">
        <v>171</v>
      </c>
      <c r="H100" s="35">
        <v>0.93</v>
      </c>
      <c r="I100" s="10">
        <f t="shared" si="11"/>
        <v>0.50990046719256565</v>
      </c>
      <c r="J100" s="9" t="s">
        <v>510</v>
      </c>
      <c r="K100" s="9" t="s">
        <v>511</v>
      </c>
      <c r="L100" s="11" t="s">
        <v>120</v>
      </c>
      <c r="M100" s="34" t="s">
        <v>504</v>
      </c>
      <c r="N100" s="12">
        <v>25023403</v>
      </c>
      <c r="O100" s="64" t="s">
        <v>512</v>
      </c>
      <c r="P100" s="77">
        <v>14.696888899999999</v>
      </c>
      <c r="Q100" s="77">
        <v>-91.795555555555495</v>
      </c>
      <c r="R100" s="14">
        <v>45786</v>
      </c>
      <c r="S100" s="14">
        <v>46025</v>
      </c>
      <c r="T100" s="12">
        <v>120</v>
      </c>
      <c r="U100" s="12">
        <v>120</v>
      </c>
      <c r="V100" s="47" t="s">
        <v>513</v>
      </c>
      <c r="W100" s="65" t="s">
        <v>514</v>
      </c>
      <c r="X100" s="48">
        <v>1903913.31</v>
      </c>
      <c r="Y100" s="48">
        <f>-258085.91+392435.21+180107.45</f>
        <v>314456.75</v>
      </c>
      <c r="Z100" s="18">
        <f t="shared" si="12"/>
        <v>2218370.06</v>
      </c>
      <c r="AA100" s="18">
        <f>466547.84+664600.09</f>
        <v>1131147.93</v>
      </c>
      <c r="AB100" s="17">
        <f t="shared" si="10"/>
        <v>1087222.1300000001</v>
      </c>
    </row>
    <row r="101" spans="1:28" ht="214.5" x14ac:dyDescent="0.25">
      <c r="A101" s="7">
        <v>100</v>
      </c>
      <c r="B101" s="8">
        <v>2025</v>
      </c>
      <c r="C101" s="8" t="s">
        <v>56</v>
      </c>
      <c r="D101" s="7" t="s">
        <v>270</v>
      </c>
      <c r="E101" s="34" t="s">
        <v>515</v>
      </c>
      <c r="F101" s="34" t="s">
        <v>509</v>
      </c>
      <c r="G101" s="34" t="s">
        <v>171</v>
      </c>
      <c r="H101" s="35">
        <v>0.8</v>
      </c>
      <c r="I101" s="10">
        <f t="shared" si="11"/>
        <v>0.49335105379006255</v>
      </c>
      <c r="J101" s="9" t="s">
        <v>516</v>
      </c>
      <c r="K101" s="9" t="s">
        <v>517</v>
      </c>
      <c r="L101" s="11" t="s">
        <v>246</v>
      </c>
      <c r="M101" s="34" t="s">
        <v>504</v>
      </c>
      <c r="N101" s="12">
        <v>25078763</v>
      </c>
      <c r="O101" s="64" t="s">
        <v>518</v>
      </c>
      <c r="P101" s="77">
        <v>14.70026</v>
      </c>
      <c r="Q101" s="77">
        <v>-91.714877999999999</v>
      </c>
      <c r="R101" s="14">
        <v>45811</v>
      </c>
      <c r="S101" s="14">
        <v>46050</v>
      </c>
      <c r="T101" s="12">
        <v>180</v>
      </c>
      <c r="U101" s="12">
        <v>60</v>
      </c>
      <c r="V101" s="47" t="s">
        <v>519</v>
      </c>
      <c r="W101" s="15" t="s">
        <v>520</v>
      </c>
      <c r="X101" s="48">
        <v>3197904.65</v>
      </c>
      <c r="Y101" s="48">
        <f>-950043.38+279843.45+433934.52</f>
        <v>-236265.40999999992</v>
      </c>
      <c r="Z101" s="18">
        <f t="shared" si="12"/>
        <v>2961639.24</v>
      </c>
      <c r="AA101" s="18">
        <v>1461127.84</v>
      </c>
      <c r="AB101" s="17">
        <f t="shared" si="10"/>
        <v>1500511.4000000001</v>
      </c>
    </row>
    <row r="102" spans="1:28" ht="234" x14ac:dyDescent="0.25">
      <c r="A102" s="7">
        <v>101</v>
      </c>
      <c r="B102" s="8">
        <v>2025</v>
      </c>
      <c r="C102" s="8" t="s">
        <v>56</v>
      </c>
      <c r="D102" s="7" t="s">
        <v>270</v>
      </c>
      <c r="E102" s="34" t="s">
        <v>521</v>
      </c>
      <c r="F102" s="34" t="s">
        <v>509</v>
      </c>
      <c r="G102" s="34" t="s">
        <v>171</v>
      </c>
      <c r="H102" s="35">
        <v>1</v>
      </c>
      <c r="I102" s="10">
        <f t="shared" si="11"/>
        <v>0.27204768792920014</v>
      </c>
      <c r="J102" s="9" t="s">
        <v>522</v>
      </c>
      <c r="K102" s="9" t="s">
        <v>523</v>
      </c>
      <c r="L102" s="11" t="s">
        <v>246</v>
      </c>
      <c r="M102" s="34" t="s">
        <v>504</v>
      </c>
      <c r="N102" s="12">
        <v>25078356</v>
      </c>
      <c r="O102" s="64" t="s">
        <v>524</v>
      </c>
      <c r="P102" s="77">
        <v>14.772833</v>
      </c>
      <c r="Q102" s="77">
        <v>-91.720072000000002</v>
      </c>
      <c r="R102" s="14">
        <v>45811</v>
      </c>
      <c r="S102" s="14">
        <v>45930</v>
      </c>
      <c r="T102" s="12">
        <v>120</v>
      </c>
      <c r="U102" s="12">
        <v>60</v>
      </c>
      <c r="V102" s="47" t="s">
        <v>519</v>
      </c>
      <c r="W102" s="15" t="s">
        <v>520</v>
      </c>
      <c r="X102" s="48">
        <v>1115361.42</v>
      </c>
      <c r="Y102" s="48">
        <f>-425483.64+68060.44+346165.08</f>
        <v>-11258.119999999995</v>
      </c>
      <c r="Z102" s="18">
        <f t="shared" si="12"/>
        <v>1104103.2999999998</v>
      </c>
      <c r="AA102" s="18">
        <v>300368.75</v>
      </c>
      <c r="AB102" s="17">
        <f t="shared" si="10"/>
        <v>803734.54999999981</v>
      </c>
    </row>
    <row r="103" spans="1:28" ht="195" x14ac:dyDescent="0.25">
      <c r="A103" s="7">
        <v>102</v>
      </c>
      <c r="B103" s="8">
        <v>2025</v>
      </c>
      <c r="C103" s="8" t="s">
        <v>56</v>
      </c>
      <c r="D103" s="7" t="s">
        <v>270</v>
      </c>
      <c r="E103" s="34" t="s">
        <v>525</v>
      </c>
      <c r="F103" s="34" t="s">
        <v>526</v>
      </c>
      <c r="G103" s="34" t="s">
        <v>527</v>
      </c>
      <c r="H103" s="35">
        <v>1</v>
      </c>
      <c r="I103" s="10">
        <f t="shared" si="11"/>
        <v>0.79998791510667389</v>
      </c>
      <c r="J103" s="9" t="s">
        <v>528</v>
      </c>
      <c r="K103" s="9" t="s">
        <v>529</v>
      </c>
      <c r="L103" s="11" t="s">
        <v>105</v>
      </c>
      <c r="M103" s="34" t="s">
        <v>504</v>
      </c>
      <c r="N103" s="12">
        <v>25070193</v>
      </c>
      <c r="O103" s="64" t="s">
        <v>530</v>
      </c>
      <c r="P103" s="77">
        <v>15.088111100000001</v>
      </c>
      <c r="Q103" s="77">
        <v>-90.670221999999995</v>
      </c>
      <c r="R103" s="14">
        <v>45831</v>
      </c>
      <c r="S103" s="14">
        <v>45984</v>
      </c>
      <c r="T103" s="12">
        <v>154</v>
      </c>
      <c r="U103" s="12">
        <v>0</v>
      </c>
      <c r="V103" s="47" t="s">
        <v>531</v>
      </c>
      <c r="W103" s="15" t="s">
        <v>532</v>
      </c>
      <c r="X103" s="48">
        <v>1200000</v>
      </c>
      <c r="Y103" s="48">
        <f>-375666.77+108351.94+185570.46</f>
        <v>-81744.370000000024</v>
      </c>
      <c r="Z103" s="18">
        <f t="shared" si="12"/>
        <v>1118255.6299999999</v>
      </c>
      <c r="AA103" s="18">
        <v>894590.99</v>
      </c>
      <c r="AB103" s="17">
        <f t="shared" si="10"/>
        <v>223664.6399999999</v>
      </c>
    </row>
    <row r="104" spans="1:28" ht="214.5" x14ac:dyDescent="0.25">
      <c r="A104" s="7">
        <v>103</v>
      </c>
      <c r="B104" s="8">
        <v>2025</v>
      </c>
      <c r="C104" s="8" t="s">
        <v>56</v>
      </c>
      <c r="D104" s="7" t="s">
        <v>270</v>
      </c>
      <c r="E104" s="34" t="s">
        <v>533</v>
      </c>
      <c r="F104" s="34" t="s">
        <v>534</v>
      </c>
      <c r="G104" s="34" t="s">
        <v>102</v>
      </c>
      <c r="H104" s="35">
        <v>0.98080000000000001</v>
      </c>
      <c r="I104" s="10">
        <f t="shared" si="11"/>
        <v>0.79999999959988599</v>
      </c>
      <c r="J104" s="66" t="s">
        <v>510</v>
      </c>
      <c r="K104" s="66" t="s">
        <v>535</v>
      </c>
      <c r="L104" s="11" t="s">
        <v>52</v>
      </c>
      <c r="M104" s="34" t="s">
        <v>504</v>
      </c>
      <c r="N104" s="12">
        <v>25351893</v>
      </c>
      <c r="O104" s="64" t="s">
        <v>536</v>
      </c>
      <c r="P104" s="77">
        <v>14.644075000000001</v>
      </c>
      <c r="Q104" s="77">
        <v>-90.595890999999995</v>
      </c>
      <c r="R104" s="14">
        <v>45846</v>
      </c>
      <c r="S104" s="14">
        <v>46026</v>
      </c>
      <c r="T104" s="12">
        <v>120</v>
      </c>
      <c r="U104" s="12">
        <v>60</v>
      </c>
      <c r="V104" s="47" t="s">
        <v>537</v>
      </c>
      <c r="W104" s="15" t="s">
        <v>538</v>
      </c>
      <c r="X104" s="48">
        <v>4195000</v>
      </c>
      <c r="Y104" s="48">
        <f>-181908.67+142107.21+843376.05</f>
        <v>803574.59000000008</v>
      </c>
      <c r="Z104" s="18">
        <f t="shared" si="12"/>
        <v>4998574.59</v>
      </c>
      <c r="AA104" s="18">
        <f>1134192.96+1383782.87+1480883.84</f>
        <v>3998859.67</v>
      </c>
      <c r="AB104" s="17">
        <f t="shared" si="10"/>
        <v>999714.91999999993</v>
      </c>
    </row>
    <row r="105" spans="1:28" ht="253.5" x14ac:dyDescent="0.25">
      <c r="A105" s="7">
        <v>104</v>
      </c>
      <c r="B105" s="8">
        <v>2025</v>
      </c>
      <c r="C105" s="8" t="s">
        <v>56</v>
      </c>
      <c r="D105" s="7" t="s">
        <v>270</v>
      </c>
      <c r="E105" s="34" t="s">
        <v>539</v>
      </c>
      <c r="F105" s="34" t="s">
        <v>534</v>
      </c>
      <c r="G105" s="34" t="s">
        <v>102</v>
      </c>
      <c r="H105" s="35">
        <v>0.60499999999999998</v>
      </c>
      <c r="I105" s="10">
        <f t="shared" si="11"/>
        <v>0.37949365352199232</v>
      </c>
      <c r="J105" s="67" t="s">
        <v>42</v>
      </c>
      <c r="K105" s="67" t="s">
        <v>540</v>
      </c>
      <c r="L105" s="11" t="s">
        <v>52</v>
      </c>
      <c r="M105" s="34" t="s">
        <v>504</v>
      </c>
      <c r="N105" s="12">
        <v>25077864</v>
      </c>
      <c r="O105" s="64" t="s">
        <v>541</v>
      </c>
      <c r="P105" s="77">
        <v>14.619365</v>
      </c>
      <c r="Q105" s="77">
        <v>-90.600774000000001</v>
      </c>
      <c r="R105" s="14">
        <v>45852</v>
      </c>
      <c r="S105" s="14">
        <v>46151</v>
      </c>
      <c r="T105" s="12">
        <v>184</v>
      </c>
      <c r="U105" s="12" t="s">
        <v>542</v>
      </c>
      <c r="V105" s="47" t="s">
        <v>543</v>
      </c>
      <c r="W105" s="15" t="s">
        <v>544</v>
      </c>
      <c r="X105" s="48">
        <v>7373495.04</v>
      </c>
      <c r="Y105" s="48">
        <f>-1578347.62+731594.6+2302919.87</f>
        <v>1456166.85</v>
      </c>
      <c r="Z105" s="18">
        <f t="shared" si="12"/>
        <v>8829661.8900000006</v>
      </c>
      <c r="AA105" s="18">
        <f>1584765.61+1766035.04</f>
        <v>3350800.6500000004</v>
      </c>
      <c r="AB105" s="17">
        <f t="shared" si="10"/>
        <v>5478861.2400000002</v>
      </c>
    </row>
    <row r="106" spans="1:28" ht="234" x14ac:dyDescent="0.25">
      <c r="A106" s="7">
        <v>105</v>
      </c>
      <c r="B106" s="8">
        <v>2025</v>
      </c>
      <c r="C106" s="8" t="s">
        <v>56</v>
      </c>
      <c r="D106" s="7" t="s">
        <v>270</v>
      </c>
      <c r="E106" s="9" t="s">
        <v>545</v>
      </c>
      <c r="F106" s="9" t="s">
        <v>509</v>
      </c>
      <c r="G106" s="9" t="s">
        <v>171</v>
      </c>
      <c r="H106" s="68">
        <v>0.93</v>
      </c>
      <c r="I106" s="10">
        <f t="shared" si="11"/>
        <v>0.46454529354609608</v>
      </c>
      <c r="J106" s="9" t="s">
        <v>510</v>
      </c>
      <c r="K106" s="9" t="s">
        <v>546</v>
      </c>
      <c r="L106" s="11" t="s">
        <v>120</v>
      </c>
      <c r="M106" s="34" t="s">
        <v>504</v>
      </c>
      <c r="N106" s="69">
        <v>26285371</v>
      </c>
      <c r="O106" s="66" t="s">
        <v>547</v>
      </c>
      <c r="P106" s="77">
        <v>14.694638899999999</v>
      </c>
      <c r="Q106" s="77">
        <v>-91.7986111111111</v>
      </c>
      <c r="R106" s="14">
        <v>45888</v>
      </c>
      <c r="S106" s="14">
        <v>46024</v>
      </c>
      <c r="T106" s="12">
        <v>90</v>
      </c>
      <c r="U106" s="12">
        <v>45</v>
      </c>
      <c r="V106" s="70" t="s">
        <v>513</v>
      </c>
      <c r="W106" s="43" t="s">
        <v>514</v>
      </c>
      <c r="X106" s="48">
        <v>880000</v>
      </c>
      <c r="Y106" s="48">
        <f>-509417.31+261717.6+363751.11</f>
        <v>116051.4</v>
      </c>
      <c r="Z106" s="18">
        <f t="shared" si="12"/>
        <v>996051.4</v>
      </c>
      <c r="AA106" s="18">
        <v>462710.99</v>
      </c>
      <c r="AB106" s="17">
        <f t="shared" si="10"/>
        <v>533340.41</v>
      </c>
    </row>
    <row r="107" spans="1:28" ht="214.5" x14ac:dyDescent="0.25">
      <c r="A107" s="7">
        <v>106</v>
      </c>
      <c r="B107" s="8">
        <v>2025</v>
      </c>
      <c r="C107" s="8" t="s">
        <v>56</v>
      </c>
      <c r="D107" s="7" t="s">
        <v>270</v>
      </c>
      <c r="E107" s="9" t="s">
        <v>548</v>
      </c>
      <c r="F107" s="9" t="s">
        <v>549</v>
      </c>
      <c r="G107" s="9" t="s">
        <v>111</v>
      </c>
      <c r="H107" s="68">
        <v>0.92</v>
      </c>
      <c r="I107" s="10">
        <f t="shared" si="11"/>
        <v>0</v>
      </c>
      <c r="J107" s="66" t="s">
        <v>516</v>
      </c>
      <c r="K107" s="66" t="s">
        <v>550</v>
      </c>
      <c r="L107" s="11" t="s">
        <v>194</v>
      </c>
      <c r="M107" s="34" t="s">
        <v>504</v>
      </c>
      <c r="N107" s="69">
        <v>26285452</v>
      </c>
      <c r="O107" s="66" t="s">
        <v>551</v>
      </c>
      <c r="P107" s="77">
        <v>15.2295111</v>
      </c>
      <c r="Q107" s="77">
        <v>-91.390111111111096</v>
      </c>
      <c r="R107" s="14">
        <v>45888</v>
      </c>
      <c r="S107" s="14">
        <v>46037</v>
      </c>
      <c r="T107" s="12">
        <v>90</v>
      </c>
      <c r="U107" s="12">
        <v>60</v>
      </c>
      <c r="V107" s="70" t="s">
        <v>552</v>
      </c>
      <c r="W107" s="43" t="s">
        <v>553</v>
      </c>
      <c r="X107" s="48">
        <v>860000</v>
      </c>
      <c r="Y107" s="48">
        <v>0</v>
      </c>
      <c r="Z107" s="18">
        <f t="shared" si="12"/>
        <v>860000</v>
      </c>
      <c r="AA107" s="18">
        <v>0</v>
      </c>
      <c r="AB107" s="17">
        <f t="shared" si="10"/>
        <v>860000</v>
      </c>
    </row>
    <row r="108" spans="1:28" ht="214.5" x14ac:dyDescent="0.25">
      <c r="A108" s="7">
        <v>107</v>
      </c>
      <c r="B108" s="8">
        <v>2025</v>
      </c>
      <c r="C108" s="8" t="s">
        <v>56</v>
      </c>
      <c r="D108" s="7" t="s">
        <v>270</v>
      </c>
      <c r="E108" s="9" t="s">
        <v>554</v>
      </c>
      <c r="F108" s="9" t="s">
        <v>555</v>
      </c>
      <c r="G108" s="9" t="s">
        <v>199</v>
      </c>
      <c r="H108" s="68">
        <v>0.21149999999999999</v>
      </c>
      <c r="I108" s="10">
        <f t="shared" si="11"/>
        <v>0</v>
      </c>
      <c r="J108" s="66" t="s">
        <v>42</v>
      </c>
      <c r="K108" s="66" t="s">
        <v>556</v>
      </c>
      <c r="L108" s="11" t="s">
        <v>120</v>
      </c>
      <c r="M108" s="34" t="s">
        <v>504</v>
      </c>
      <c r="N108" s="69">
        <v>26345137</v>
      </c>
      <c r="O108" s="66" t="s">
        <v>557</v>
      </c>
      <c r="P108" s="77">
        <v>14.3078056</v>
      </c>
      <c r="Q108" s="77">
        <v>-91.818722222222206</v>
      </c>
      <c r="R108" s="14">
        <v>45930</v>
      </c>
      <c r="S108" s="14">
        <v>46294</v>
      </c>
      <c r="T108" s="12">
        <v>365</v>
      </c>
      <c r="U108" s="12">
        <v>0</v>
      </c>
      <c r="V108" s="70" t="s">
        <v>558</v>
      </c>
      <c r="W108" s="43" t="s">
        <v>553</v>
      </c>
      <c r="X108" s="48">
        <v>3375000</v>
      </c>
      <c r="Y108" s="48">
        <v>0</v>
      </c>
      <c r="Z108" s="18">
        <f t="shared" si="12"/>
        <v>3375000</v>
      </c>
      <c r="AA108" s="18">
        <v>0</v>
      </c>
      <c r="AB108" s="17">
        <f t="shared" si="10"/>
        <v>3375000</v>
      </c>
    </row>
    <row r="109" spans="1:28" ht="331.5" x14ac:dyDescent="0.25">
      <c r="A109" s="7">
        <v>108</v>
      </c>
      <c r="B109" s="8">
        <v>2025</v>
      </c>
      <c r="C109" s="8" t="s">
        <v>56</v>
      </c>
      <c r="D109" s="7" t="s">
        <v>270</v>
      </c>
      <c r="E109" s="9" t="s">
        <v>559</v>
      </c>
      <c r="F109" s="9" t="s">
        <v>428</v>
      </c>
      <c r="G109" s="9" t="s">
        <v>185</v>
      </c>
      <c r="H109" s="68">
        <v>0.499</v>
      </c>
      <c r="I109" s="10">
        <f t="shared" si="11"/>
        <v>0</v>
      </c>
      <c r="J109" s="66" t="s">
        <v>42</v>
      </c>
      <c r="K109" s="71" t="s">
        <v>560</v>
      </c>
      <c r="L109" s="11" t="s">
        <v>80</v>
      </c>
      <c r="M109" s="34" t="s">
        <v>504</v>
      </c>
      <c r="N109" s="69">
        <v>26285541</v>
      </c>
      <c r="O109" s="66" t="s">
        <v>561</v>
      </c>
      <c r="P109" s="77">
        <v>15.46125</v>
      </c>
      <c r="Q109" s="77">
        <v>-90.694583333333298</v>
      </c>
      <c r="R109" s="14">
        <v>45937</v>
      </c>
      <c r="S109" s="14">
        <v>46099</v>
      </c>
      <c r="T109" s="12">
        <v>123</v>
      </c>
      <c r="U109" s="12">
        <v>40</v>
      </c>
      <c r="V109" s="70" t="s">
        <v>558</v>
      </c>
      <c r="W109" s="43" t="s">
        <v>553</v>
      </c>
      <c r="X109" s="48">
        <v>1228000</v>
      </c>
      <c r="Y109" s="48">
        <v>0</v>
      </c>
      <c r="Z109" s="18">
        <f t="shared" si="12"/>
        <v>1228000</v>
      </c>
      <c r="AA109" s="18">
        <v>0</v>
      </c>
      <c r="AB109" s="17">
        <f t="shared" si="10"/>
        <v>1228000</v>
      </c>
    </row>
    <row r="110" spans="1:28" ht="195" x14ac:dyDescent="0.25">
      <c r="A110" s="7">
        <v>109</v>
      </c>
      <c r="B110" s="8">
        <v>2025</v>
      </c>
      <c r="C110" s="8" t="s">
        <v>56</v>
      </c>
      <c r="D110" s="7" t="s">
        <v>270</v>
      </c>
      <c r="E110" s="9" t="s">
        <v>562</v>
      </c>
      <c r="F110" s="9" t="s">
        <v>563</v>
      </c>
      <c r="G110" s="9" t="s">
        <v>527</v>
      </c>
      <c r="H110" s="68">
        <v>0.8</v>
      </c>
      <c r="I110" s="10">
        <f t="shared" si="11"/>
        <v>0.23481302571274654</v>
      </c>
      <c r="J110" s="66" t="s">
        <v>42</v>
      </c>
      <c r="K110" s="66" t="s">
        <v>564</v>
      </c>
      <c r="L110" s="11" t="s">
        <v>105</v>
      </c>
      <c r="M110" s="34" t="s">
        <v>504</v>
      </c>
      <c r="N110" s="69">
        <v>26939495</v>
      </c>
      <c r="O110" s="66" t="s">
        <v>565</v>
      </c>
      <c r="P110" s="77">
        <v>14.962222199999999</v>
      </c>
      <c r="Q110" s="77">
        <v>-90.5266666666666</v>
      </c>
      <c r="R110" s="14">
        <v>45960</v>
      </c>
      <c r="S110" s="14">
        <v>46049</v>
      </c>
      <c r="T110" s="12">
        <v>90</v>
      </c>
      <c r="U110" s="12">
        <v>90</v>
      </c>
      <c r="V110" s="70" t="s">
        <v>566</v>
      </c>
      <c r="W110" s="43" t="s">
        <v>567</v>
      </c>
      <c r="X110" s="48">
        <v>2035000</v>
      </c>
      <c r="Y110" s="48">
        <f>-505034.26+91056.3+258758.09</f>
        <v>-155219.87000000002</v>
      </c>
      <c r="Z110" s="18">
        <f t="shared" si="12"/>
        <v>1879780.13</v>
      </c>
      <c r="AA110" s="18">
        <v>441396.86</v>
      </c>
      <c r="AB110" s="17">
        <f t="shared" si="10"/>
        <v>1438383.27</v>
      </c>
    </row>
    <row r="111" spans="1:28" ht="175.5" x14ac:dyDescent="0.25">
      <c r="A111" s="7">
        <v>110</v>
      </c>
      <c r="B111" s="8">
        <v>2025</v>
      </c>
      <c r="C111" s="8" t="s">
        <v>56</v>
      </c>
      <c r="D111" s="7" t="s">
        <v>270</v>
      </c>
      <c r="E111" s="9" t="s">
        <v>568</v>
      </c>
      <c r="F111" s="9" t="s">
        <v>569</v>
      </c>
      <c r="G111" s="9" t="s">
        <v>570</v>
      </c>
      <c r="H111" s="68">
        <v>0.21</v>
      </c>
      <c r="I111" s="10">
        <f t="shared" si="11"/>
        <v>0</v>
      </c>
      <c r="J111" s="66" t="s">
        <v>571</v>
      </c>
      <c r="K111" s="66" t="s">
        <v>572</v>
      </c>
      <c r="L111" s="11" t="s">
        <v>246</v>
      </c>
      <c r="M111" s="34" t="s">
        <v>504</v>
      </c>
      <c r="N111" s="69">
        <v>26294419</v>
      </c>
      <c r="O111" s="66" t="s">
        <v>573</v>
      </c>
      <c r="P111" s="77">
        <v>14.584027799999999</v>
      </c>
      <c r="Q111" s="77">
        <v>-90.7394166666666</v>
      </c>
      <c r="R111" s="14">
        <v>45959</v>
      </c>
      <c r="S111" s="14">
        <v>46108</v>
      </c>
      <c r="T111" s="12">
        <v>150</v>
      </c>
      <c r="U111" s="12">
        <v>0</v>
      </c>
      <c r="V111" s="70" t="s">
        <v>574</v>
      </c>
      <c r="W111" s="43" t="s">
        <v>575</v>
      </c>
      <c r="X111" s="48">
        <v>1285677</v>
      </c>
      <c r="Y111" s="48">
        <v>0</v>
      </c>
      <c r="Z111" s="18">
        <f t="shared" si="12"/>
        <v>1285677</v>
      </c>
      <c r="AA111" s="18">
        <v>0</v>
      </c>
      <c r="AB111" s="17">
        <f t="shared" si="10"/>
        <v>1285677</v>
      </c>
    </row>
    <row r="112" spans="1:28" ht="136.5" x14ac:dyDescent="0.25">
      <c r="A112" s="7">
        <v>111</v>
      </c>
      <c r="B112" s="8">
        <v>2025</v>
      </c>
      <c r="C112" s="8" t="s">
        <v>56</v>
      </c>
      <c r="D112" s="7" t="s">
        <v>270</v>
      </c>
      <c r="E112" s="9" t="s">
        <v>576</v>
      </c>
      <c r="F112" s="9" t="s">
        <v>577</v>
      </c>
      <c r="G112" s="9" t="s">
        <v>77</v>
      </c>
      <c r="H112" s="68">
        <v>0.4723</v>
      </c>
      <c r="I112" s="10">
        <f t="shared" si="11"/>
        <v>0.20003964764751961</v>
      </c>
      <c r="J112" s="66" t="s">
        <v>42</v>
      </c>
      <c r="K112" s="66" t="s">
        <v>578</v>
      </c>
      <c r="L112" s="11" t="s">
        <v>35</v>
      </c>
      <c r="M112" s="34" t="s">
        <v>504</v>
      </c>
      <c r="N112" s="69">
        <v>26346869</v>
      </c>
      <c r="O112" s="66" t="s">
        <v>579</v>
      </c>
      <c r="P112" s="77">
        <v>14.306555599999999</v>
      </c>
      <c r="Q112" s="77">
        <v>-90.972388888888801</v>
      </c>
      <c r="R112" s="14">
        <v>45966</v>
      </c>
      <c r="S112" s="14">
        <v>46145</v>
      </c>
      <c r="T112" s="12">
        <v>180</v>
      </c>
      <c r="U112" s="12">
        <v>0</v>
      </c>
      <c r="V112" s="70" t="s">
        <v>255</v>
      </c>
      <c r="W112" s="15" t="s">
        <v>256</v>
      </c>
      <c r="X112" s="48">
        <v>2298749.25</v>
      </c>
      <c r="Y112" s="48">
        <v>0</v>
      </c>
      <c r="Z112" s="18">
        <f t="shared" si="12"/>
        <v>2298749.25</v>
      </c>
      <c r="AA112" s="18">
        <v>459840.99</v>
      </c>
      <c r="AB112" s="17">
        <f t="shared" si="10"/>
        <v>1838908.26</v>
      </c>
    </row>
    <row r="113" spans="1:28" ht="234" x14ac:dyDescent="0.25">
      <c r="A113" s="7">
        <v>112</v>
      </c>
      <c r="B113" s="8">
        <v>2025</v>
      </c>
      <c r="C113" s="8" t="s">
        <v>56</v>
      </c>
      <c r="D113" s="7" t="s">
        <v>270</v>
      </c>
      <c r="E113" s="9" t="s">
        <v>580</v>
      </c>
      <c r="F113" s="9" t="s">
        <v>555</v>
      </c>
      <c r="G113" s="9" t="s">
        <v>199</v>
      </c>
      <c r="H113" s="68">
        <v>0.26</v>
      </c>
      <c r="I113" s="10">
        <f t="shared" si="11"/>
        <v>0</v>
      </c>
      <c r="J113" s="66" t="s">
        <v>42</v>
      </c>
      <c r="K113" s="66" t="s">
        <v>581</v>
      </c>
      <c r="L113" s="11" t="s">
        <v>80</v>
      </c>
      <c r="M113" s="34" t="s">
        <v>504</v>
      </c>
      <c r="N113" s="69">
        <v>26344475</v>
      </c>
      <c r="O113" s="66" t="s">
        <v>582</v>
      </c>
      <c r="P113" s="77">
        <v>14.320275000000001</v>
      </c>
      <c r="Q113" s="77">
        <v>-91.8986083333333</v>
      </c>
      <c r="R113" s="14">
        <v>45985</v>
      </c>
      <c r="S113" s="14">
        <v>46165</v>
      </c>
      <c r="T113" s="12">
        <v>180</v>
      </c>
      <c r="U113" s="12">
        <v>0</v>
      </c>
      <c r="V113" s="70" t="s">
        <v>583</v>
      </c>
      <c r="W113" s="15" t="s">
        <v>584</v>
      </c>
      <c r="X113" s="48">
        <v>2222136.59</v>
      </c>
      <c r="Y113" s="48">
        <v>0</v>
      </c>
      <c r="Z113" s="18">
        <f t="shared" si="12"/>
        <v>2222136.59</v>
      </c>
      <c r="AA113" s="18">
        <v>0</v>
      </c>
      <c r="AB113" s="17">
        <f t="shared" si="10"/>
        <v>2222136.59</v>
      </c>
    </row>
    <row r="114" spans="1:28" ht="175.5" x14ac:dyDescent="0.25">
      <c r="A114" s="7">
        <v>113</v>
      </c>
      <c r="B114" s="8">
        <v>2025</v>
      </c>
      <c r="C114" s="8" t="s">
        <v>56</v>
      </c>
      <c r="D114" s="7" t="s">
        <v>270</v>
      </c>
      <c r="E114" s="9" t="s">
        <v>585</v>
      </c>
      <c r="F114" s="9" t="s">
        <v>534</v>
      </c>
      <c r="G114" s="9" t="s">
        <v>102</v>
      </c>
      <c r="H114" s="68">
        <v>0.2364</v>
      </c>
      <c r="I114" s="10">
        <v>0</v>
      </c>
      <c r="J114" s="66" t="s">
        <v>42</v>
      </c>
      <c r="K114" s="66" t="s">
        <v>586</v>
      </c>
      <c r="L114" s="11" t="s">
        <v>266</v>
      </c>
      <c r="M114" s="34" t="s">
        <v>504</v>
      </c>
      <c r="N114" s="69">
        <v>26975017</v>
      </c>
      <c r="O114" s="66" t="s">
        <v>587</v>
      </c>
      <c r="P114" s="77">
        <v>14.65</v>
      </c>
      <c r="Q114" s="77">
        <v>-90.660916388888893</v>
      </c>
      <c r="R114" s="14">
        <v>45994</v>
      </c>
      <c r="S114" s="14">
        <v>46268</v>
      </c>
      <c r="T114" s="12">
        <v>274</v>
      </c>
      <c r="U114" s="12">
        <v>0</v>
      </c>
      <c r="V114" s="70" t="s">
        <v>588</v>
      </c>
      <c r="W114" s="15" t="s">
        <v>589</v>
      </c>
      <c r="X114" s="48">
        <v>6750000</v>
      </c>
      <c r="Y114" s="48">
        <v>0</v>
      </c>
      <c r="Z114" s="18">
        <f t="shared" si="12"/>
        <v>6750000</v>
      </c>
      <c r="AA114" s="18">
        <v>0</v>
      </c>
      <c r="AB114" s="17">
        <f t="shared" si="10"/>
        <v>6750000</v>
      </c>
    </row>
    <row r="115" spans="1:28" ht="253.5" x14ac:dyDescent="0.25">
      <c r="A115" s="7">
        <v>114</v>
      </c>
      <c r="B115" s="8">
        <v>2026</v>
      </c>
      <c r="C115" s="8" t="s">
        <v>56</v>
      </c>
      <c r="D115" s="7" t="s">
        <v>270</v>
      </c>
      <c r="E115" s="9" t="s">
        <v>590</v>
      </c>
      <c r="F115" s="9" t="s">
        <v>591</v>
      </c>
      <c r="G115" s="9" t="s">
        <v>570</v>
      </c>
      <c r="H115" s="68">
        <v>0.08</v>
      </c>
      <c r="I115" s="10">
        <v>0</v>
      </c>
      <c r="J115" s="66" t="s">
        <v>592</v>
      </c>
      <c r="K115" s="66" t="s">
        <v>593</v>
      </c>
      <c r="L115" s="11" t="s">
        <v>71</v>
      </c>
      <c r="M115" s="34" t="s">
        <v>504</v>
      </c>
      <c r="N115" s="69">
        <v>27655407</v>
      </c>
      <c r="O115" s="66" t="s">
        <v>594</v>
      </c>
      <c r="P115" s="77">
        <v>14.478433300000001</v>
      </c>
      <c r="Q115" s="77">
        <v>-90.808355555555494</v>
      </c>
      <c r="R115" s="14">
        <v>46031</v>
      </c>
      <c r="S115" s="14">
        <v>46395</v>
      </c>
      <c r="T115" s="12">
        <v>365</v>
      </c>
      <c r="U115" s="12">
        <v>0</v>
      </c>
      <c r="V115" s="70" t="s">
        <v>595</v>
      </c>
      <c r="W115" s="15" t="s">
        <v>596</v>
      </c>
      <c r="X115" s="48">
        <v>9400000</v>
      </c>
      <c r="Y115" s="48">
        <v>0</v>
      </c>
      <c r="Z115" s="18">
        <f t="shared" si="12"/>
        <v>9400000</v>
      </c>
      <c r="AA115" s="18">
        <v>0</v>
      </c>
      <c r="AB115" s="17">
        <f t="shared" si="10"/>
        <v>9400000</v>
      </c>
    </row>
    <row r="116" spans="1:28" ht="136.5" x14ac:dyDescent="0.25">
      <c r="A116" s="7">
        <v>115</v>
      </c>
      <c r="B116" s="8">
        <v>2026</v>
      </c>
      <c r="C116" s="8" t="s">
        <v>56</v>
      </c>
      <c r="D116" s="7" t="s">
        <v>270</v>
      </c>
      <c r="E116" s="9" t="s">
        <v>597</v>
      </c>
      <c r="F116" s="9" t="s">
        <v>313</v>
      </c>
      <c r="G116" s="9" t="s">
        <v>68</v>
      </c>
      <c r="H116" s="68">
        <v>0.13450000000000001</v>
      </c>
      <c r="I116" s="10">
        <v>0</v>
      </c>
      <c r="J116" s="66" t="s">
        <v>598</v>
      </c>
      <c r="K116" s="66" t="s">
        <v>599</v>
      </c>
      <c r="L116" s="11" t="s">
        <v>52</v>
      </c>
      <c r="M116" s="34" t="s">
        <v>504</v>
      </c>
      <c r="N116" s="69">
        <v>27655423</v>
      </c>
      <c r="O116" s="66" t="s">
        <v>600</v>
      </c>
      <c r="P116" s="77">
        <v>14.975250000000001</v>
      </c>
      <c r="Q116" s="77">
        <v>-90.175389166666605</v>
      </c>
      <c r="R116" s="14">
        <v>46035</v>
      </c>
      <c r="S116" s="14">
        <v>46184</v>
      </c>
      <c r="T116" s="12">
        <v>150</v>
      </c>
      <c r="U116" s="12">
        <v>0</v>
      </c>
      <c r="V116" s="70" t="s">
        <v>566</v>
      </c>
      <c r="W116" s="15" t="s">
        <v>567</v>
      </c>
      <c r="X116" s="48">
        <v>1106000</v>
      </c>
      <c r="Y116" s="48">
        <v>0</v>
      </c>
      <c r="Z116" s="18">
        <f t="shared" si="12"/>
        <v>1106000</v>
      </c>
      <c r="AA116" s="18">
        <v>0</v>
      </c>
      <c r="AB116" s="17">
        <f t="shared" si="10"/>
        <v>1106000</v>
      </c>
    </row>
    <row r="117" spans="1:28" ht="292.5" x14ac:dyDescent="0.25">
      <c r="A117" s="7">
        <v>116</v>
      </c>
      <c r="B117" s="8">
        <v>2026</v>
      </c>
      <c r="C117" s="8" t="s">
        <v>56</v>
      </c>
      <c r="D117" s="7" t="s">
        <v>270</v>
      </c>
      <c r="E117" s="9" t="s">
        <v>601</v>
      </c>
      <c r="F117" s="9" t="s">
        <v>602</v>
      </c>
      <c r="G117" s="9" t="s">
        <v>102</v>
      </c>
      <c r="H117" s="68">
        <v>3.2300000000000002E-2</v>
      </c>
      <c r="I117" s="10">
        <v>0</v>
      </c>
      <c r="J117" s="66" t="s">
        <v>603</v>
      </c>
      <c r="K117" s="66" t="s">
        <v>604</v>
      </c>
      <c r="L117" s="11" t="s">
        <v>96</v>
      </c>
      <c r="M117" s="34" t="s">
        <v>504</v>
      </c>
      <c r="N117" s="69">
        <v>27655296</v>
      </c>
      <c r="O117" s="66" t="s">
        <v>605</v>
      </c>
      <c r="P117" s="77">
        <v>14.709166700000001</v>
      </c>
      <c r="Q117" s="77">
        <v>-90.550277777777694</v>
      </c>
      <c r="R117" s="14">
        <v>46043</v>
      </c>
      <c r="S117" s="14">
        <v>46402</v>
      </c>
      <c r="T117" s="12">
        <v>360</v>
      </c>
      <c r="U117" s="12">
        <v>0</v>
      </c>
      <c r="V117" s="70" t="s">
        <v>583</v>
      </c>
      <c r="W117" s="15" t="s">
        <v>584</v>
      </c>
      <c r="X117" s="48">
        <v>6260135</v>
      </c>
      <c r="Y117" s="48">
        <v>0</v>
      </c>
      <c r="Z117" s="18">
        <f t="shared" si="12"/>
        <v>6260135</v>
      </c>
      <c r="AA117" s="18">
        <v>0</v>
      </c>
      <c r="AB117" s="17">
        <f t="shared" si="10"/>
        <v>6260135</v>
      </c>
    </row>
    <row r="118" spans="1:28" ht="117" x14ac:dyDescent="0.25">
      <c r="A118" s="7">
        <v>117</v>
      </c>
      <c r="B118" s="8">
        <v>2026</v>
      </c>
      <c r="C118" s="8" t="s">
        <v>56</v>
      </c>
      <c r="D118" s="7" t="s">
        <v>270</v>
      </c>
      <c r="E118" s="9" t="s">
        <v>606</v>
      </c>
      <c r="F118" s="9" t="s">
        <v>607</v>
      </c>
      <c r="G118" s="9" t="s">
        <v>570</v>
      </c>
      <c r="H118" s="68">
        <v>0</v>
      </c>
      <c r="I118" s="10">
        <v>0</v>
      </c>
      <c r="J118" s="66" t="s">
        <v>608</v>
      </c>
      <c r="K118" s="66" t="s">
        <v>609</v>
      </c>
      <c r="L118" s="11" t="s">
        <v>71</v>
      </c>
      <c r="M118" s="34" t="s">
        <v>504</v>
      </c>
      <c r="N118" s="69">
        <v>27773051</v>
      </c>
      <c r="O118" s="66" t="s">
        <v>610</v>
      </c>
      <c r="P118" s="77">
        <v>14.646894400000001</v>
      </c>
      <c r="Q118" s="77">
        <v>-90.725794444444404</v>
      </c>
      <c r="R118" s="14">
        <v>46058</v>
      </c>
      <c r="S118" s="14">
        <v>46327</v>
      </c>
      <c r="T118" s="12">
        <v>270</v>
      </c>
      <c r="U118" s="12">
        <v>0</v>
      </c>
      <c r="V118" s="70" t="s">
        <v>595</v>
      </c>
      <c r="W118" s="15" t="s">
        <v>596</v>
      </c>
      <c r="X118" s="48">
        <v>8910049.5</v>
      </c>
      <c r="Y118" s="48">
        <v>0</v>
      </c>
      <c r="Z118" s="18">
        <f t="shared" si="12"/>
        <v>8910049.5</v>
      </c>
      <c r="AA118" s="18">
        <v>0</v>
      </c>
      <c r="AB118" s="17">
        <f t="shared" si="10"/>
        <v>8910049.5</v>
      </c>
    </row>
    <row r="119" spans="1:28" ht="175.5" x14ac:dyDescent="0.25">
      <c r="A119" s="7">
        <v>118</v>
      </c>
      <c r="B119" s="8">
        <v>2026</v>
      </c>
      <c r="C119" s="8" t="s">
        <v>28</v>
      </c>
      <c r="D119" s="7" t="s">
        <v>270</v>
      </c>
      <c r="E119" s="9" t="s">
        <v>611</v>
      </c>
      <c r="F119" s="9" t="s">
        <v>602</v>
      </c>
      <c r="G119" s="9" t="s">
        <v>102</v>
      </c>
      <c r="H119" s="68">
        <v>0.18</v>
      </c>
      <c r="I119" s="10">
        <v>0</v>
      </c>
      <c r="J119" s="66" t="s">
        <v>612</v>
      </c>
      <c r="K119" s="66" t="s">
        <v>613</v>
      </c>
      <c r="L119" s="11" t="s">
        <v>266</v>
      </c>
      <c r="M119" s="34" t="s">
        <v>504</v>
      </c>
      <c r="N119" s="69">
        <v>27655474</v>
      </c>
      <c r="O119" s="66" t="s">
        <v>614</v>
      </c>
      <c r="P119" s="77">
        <v>14.7892417</v>
      </c>
      <c r="Q119" s="77">
        <v>-90.606341666666594</v>
      </c>
      <c r="R119" s="14">
        <v>46062</v>
      </c>
      <c r="S119" s="14">
        <v>46181</v>
      </c>
      <c r="T119" s="12">
        <v>120</v>
      </c>
      <c r="U119" s="12">
        <v>0</v>
      </c>
      <c r="V119" s="70" t="s">
        <v>268</v>
      </c>
      <c r="W119" s="15" t="s">
        <v>269</v>
      </c>
      <c r="X119" s="48">
        <v>1099581</v>
      </c>
      <c r="Y119" s="48">
        <v>0</v>
      </c>
      <c r="Z119" s="18">
        <f t="shared" si="12"/>
        <v>1099581</v>
      </c>
      <c r="AA119" s="18">
        <v>0</v>
      </c>
      <c r="AB119" s="17">
        <f t="shared" si="10"/>
        <v>1099581</v>
      </c>
    </row>
    <row r="120" spans="1:28" ht="273" x14ac:dyDescent="0.25">
      <c r="A120" s="7">
        <v>119</v>
      </c>
      <c r="B120" s="8">
        <v>2026</v>
      </c>
      <c r="C120" s="8" t="s">
        <v>56</v>
      </c>
      <c r="D120" s="7" t="s">
        <v>270</v>
      </c>
      <c r="E120" s="9" t="s">
        <v>615</v>
      </c>
      <c r="F120" s="9" t="s">
        <v>616</v>
      </c>
      <c r="G120" s="9" t="s">
        <v>102</v>
      </c>
      <c r="H120" s="68">
        <v>0</v>
      </c>
      <c r="I120" s="10">
        <v>0</v>
      </c>
      <c r="J120" s="66" t="s">
        <v>612</v>
      </c>
      <c r="K120" s="66" t="s">
        <v>617</v>
      </c>
      <c r="L120" s="11" t="s">
        <v>96</v>
      </c>
      <c r="M120" s="34" t="s">
        <v>504</v>
      </c>
      <c r="N120" s="69">
        <v>27773116</v>
      </c>
      <c r="O120" s="66" t="s">
        <v>618</v>
      </c>
      <c r="P120" s="77">
        <v>14.7647222</v>
      </c>
      <c r="Q120" s="77">
        <v>-90.591666666666598</v>
      </c>
      <c r="R120" s="14">
        <v>46062</v>
      </c>
      <c r="S120" s="14">
        <v>46364</v>
      </c>
      <c r="T120" s="12">
        <v>303</v>
      </c>
      <c r="U120" s="12">
        <v>0</v>
      </c>
      <c r="V120" s="70" t="s">
        <v>588</v>
      </c>
      <c r="W120" s="15" t="s">
        <v>589</v>
      </c>
      <c r="X120" s="48">
        <v>11044868.529999999</v>
      </c>
      <c r="Y120" s="48">
        <v>0</v>
      </c>
      <c r="Z120" s="18">
        <f t="shared" si="12"/>
        <v>11044868.529999999</v>
      </c>
      <c r="AA120" s="18">
        <v>0</v>
      </c>
      <c r="AB120" s="17">
        <f t="shared" si="10"/>
        <v>11044868.529999999</v>
      </c>
    </row>
    <row r="121" spans="1:28" ht="195" x14ac:dyDescent="0.25">
      <c r="A121" s="7">
        <v>120</v>
      </c>
      <c r="B121" s="8">
        <v>2026</v>
      </c>
      <c r="C121" s="8" t="s">
        <v>56</v>
      </c>
      <c r="D121" s="7" t="s">
        <v>270</v>
      </c>
      <c r="E121" s="9" t="s">
        <v>619</v>
      </c>
      <c r="F121" s="9" t="s">
        <v>620</v>
      </c>
      <c r="G121" s="9" t="s">
        <v>102</v>
      </c>
      <c r="H121" s="68">
        <v>0.01</v>
      </c>
      <c r="I121" s="10">
        <v>0</v>
      </c>
      <c r="J121" s="66" t="s">
        <v>621</v>
      </c>
      <c r="K121" s="66" t="s">
        <v>622</v>
      </c>
      <c r="L121" s="11" t="s">
        <v>194</v>
      </c>
      <c r="M121" s="34" t="s">
        <v>504</v>
      </c>
      <c r="N121" s="69">
        <v>27773264</v>
      </c>
      <c r="O121" s="66" t="s">
        <v>623</v>
      </c>
      <c r="P121" s="77">
        <v>14.478222199999999</v>
      </c>
      <c r="Q121" s="77">
        <v>-90.615638888888796</v>
      </c>
      <c r="R121" s="14">
        <v>46064</v>
      </c>
      <c r="S121" s="14">
        <v>46423</v>
      </c>
      <c r="T121" s="12">
        <v>360</v>
      </c>
      <c r="U121" s="12">
        <v>0</v>
      </c>
      <c r="V121" s="70" t="s">
        <v>583</v>
      </c>
      <c r="W121" s="15" t="s">
        <v>584</v>
      </c>
      <c r="X121" s="48">
        <v>8582120</v>
      </c>
      <c r="Y121" s="48">
        <v>0</v>
      </c>
      <c r="Z121" s="18">
        <f t="shared" si="12"/>
        <v>8582120</v>
      </c>
      <c r="AA121" s="18">
        <v>0</v>
      </c>
      <c r="AB121" s="17">
        <f t="shared" si="10"/>
        <v>8582120</v>
      </c>
    </row>
    <row r="122" spans="1:28" ht="136.5" x14ac:dyDescent="0.25">
      <c r="A122" s="7">
        <v>121</v>
      </c>
      <c r="B122" s="8">
        <v>2026</v>
      </c>
      <c r="C122" s="8" t="s">
        <v>56</v>
      </c>
      <c r="D122" s="7" t="s">
        <v>270</v>
      </c>
      <c r="E122" s="9" t="s">
        <v>624</v>
      </c>
      <c r="F122" s="9" t="s">
        <v>76</v>
      </c>
      <c r="G122" s="9" t="s">
        <v>77</v>
      </c>
      <c r="H122" s="68">
        <v>0</v>
      </c>
      <c r="I122" s="10">
        <v>0</v>
      </c>
      <c r="J122" s="66" t="s">
        <v>625</v>
      </c>
      <c r="K122" s="66" t="s">
        <v>626</v>
      </c>
      <c r="L122" s="11" t="s">
        <v>105</v>
      </c>
      <c r="M122" s="34" t="s">
        <v>504</v>
      </c>
      <c r="N122" s="69">
        <v>27655415</v>
      </c>
      <c r="O122" s="66" t="s">
        <v>627</v>
      </c>
      <c r="P122" s="77">
        <v>14.401460999999999</v>
      </c>
      <c r="Q122" s="77">
        <v>-90.697822000000002</v>
      </c>
      <c r="R122" s="14">
        <v>46066</v>
      </c>
      <c r="S122" s="14">
        <v>46245</v>
      </c>
      <c r="T122" s="12">
        <v>180</v>
      </c>
      <c r="U122" s="12">
        <v>0</v>
      </c>
      <c r="V122" s="70" t="s">
        <v>583</v>
      </c>
      <c r="W122" s="15" t="s">
        <v>584</v>
      </c>
      <c r="X122" s="48">
        <v>1271975</v>
      </c>
      <c r="Y122" s="48">
        <v>0</v>
      </c>
      <c r="Z122" s="18">
        <f t="shared" si="12"/>
        <v>1271975</v>
      </c>
      <c r="AA122" s="18">
        <v>0</v>
      </c>
      <c r="AB122" s="17">
        <f t="shared" si="10"/>
        <v>1271975</v>
      </c>
    </row>
    <row r="123" spans="1:28" ht="214.5" x14ac:dyDescent="0.25">
      <c r="A123" s="7">
        <v>122</v>
      </c>
      <c r="B123" s="8">
        <v>2026</v>
      </c>
      <c r="C123" s="8" t="s">
        <v>56</v>
      </c>
      <c r="D123" s="7" t="s">
        <v>270</v>
      </c>
      <c r="E123" s="9" t="s">
        <v>628</v>
      </c>
      <c r="F123" s="9" t="s">
        <v>77</v>
      </c>
      <c r="G123" s="9" t="s">
        <v>77</v>
      </c>
      <c r="H123" s="68">
        <v>0</v>
      </c>
      <c r="I123" s="10">
        <v>0</v>
      </c>
      <c r="J123" s="66" t="s">
        <v>625</v>
      </c>
      <c r="K123" s="66" t="s">
        <v>629</v>
      </c>
      <c r="L123" s="11" t="s">
        <v>35</v>
      </c>
      <c r="M123" s="34" t="s">
        <v>504</v>
      </c>
      <c r="N123" s="69">
        <v>27889823</v>
      </c>
      <c r="O123" s="66" t="s">
        <v>630</v>
      </c>
      <c r="P123" s="77">
        <v>14.232222</v>
      </c>
      <c r="Q123" s="77">
        <v>-90.731110999999999</v>
      </c>
      <c r="R123" s="14">
        <v>46066</v>
      </c>
      <c r="S123" s="14">
        <v>46275</v>
      </c>
      <c r="T123" s="12">
        <v>210</v>
      </c>
      <c r="U123" s="12">
        <v>0</v>
      </c>
      <c r="V123" s="70" t="s">
        <v>583</v>
      </c>
      <c r="W123" s="15" t="s">
        <v>584</v>
      </c>
      <c r="X123" s="48">
        <v>6752765</v>
      </c>
      <c r="Y123" s="48">
        <v>0</v>
      </c>
      <c r="Z123" s="18">
        <f t="shared" si="12"/>
        <v>6752765</v>
      </c>
      <c r="AA123" s="18">
        <v>0</v>
      </c>
      <c r="AB123" s="17">
        <f t="shared" si="10"/>
        <v>6752765</v>
      </c>
    </row>
    <row r="124" spans="1:28" ht="214.5" x14ac:dyDescent="0.25">
      <c r="A124" s="7">
        <v>123</v>
      </c>
      <c r="B124" s="8">
        <v>2026</v>
      </c>
      <c r="C124" s="8" t="s">
        <v>56</v>
      </c>
      <c r="D124" s="7" t="s">
        <v>270</v>
      </c>
      <c r="E124" s="9" t="s">
        <v>631</v>
      </c>
      <c r="F124" s="9" t="s">
        <v>632</v>
      </c>
      <c r="G124" s="9" t="s">
        <v>102</v>
      </c>
      <c r="H124" s="68">
        <v>0</v>
      </c>
      <c r="I124" s="10">
        <v>0</v>
      </c>
      <c r="J124" s="66" t="s">
        <v>633</v>
      </c>
      <c r="K124" s="66" t="s">
        <v>634</v>
      </c>
      <c r="L124" s="11" t="s">
        <v>266</v>
      </c>
      <c r="M124" s="34" t="s">
        <v>504</v>
      </c>
      <c r="N124" s="69">
        <v>27945693</v>
      </c>
      <c r="O124" s="66" t="s">
        <v>635</v>
      </c>
      <c r="P124" s="77">
        <v>14.507111</v>
      </c>
      <c r="Q124" s="77">
        <v>-90.566055000000006</v>
      </c>
      <c r="R124" s="14">
        <v>46077</v>
      </c>
      <c r="S124" s="14">
        <v>46376</v>
      </c>
      <c r="T124" s="12">
        <v>300</v>
      </c>
      <c r="U124" s="12">
        <v>0</v>
      </c>
      <c r="V124" s="70" t="s">
        <v>268</v>
      </c>
      <c r="W124" s="15" t="s">
        <v>269</v>
      </c>
      <c r="X124" s="48">
        <v>11890047.9</v>
      </c>
      <c r="Y124" s="48">
        <v>0</v>
      </c>
      <c r="Z124" s="18">
        <f t="shared" si="12"/>
        <v>11890047.9</v>
      </c>
      <c r="AA124" s="18">
        <v>0</v>
      </c>
      <c r="AB124" s="17">
        <f t="shared" si="10"/>
        <v>11890047.9</v>
      </c>
    </row>
    <row r="125" spans="1:28" ht="175.5" x14ac:dyDescent="0.25">
      <c r="A125" s="7">
        <v>124</v>
      </c>
      <c r="B125" s="8">
        <v>2026</v>
      </c>
      <c r="C125" s="8" t="s">
        <v>56</v>
      </c>
      <c r="D125" s="7" t="s">
        <v>270</v>
      </c>
      <c r="E125" s="9" t="s">
        <v>636</v>
      </c>
      <c r="F125" s="9" t="s">
        <v>637</v>
      </c>
      <c r="G125" s="9" t="s">
        <v>124</v>
      </c>
      <c r="H125" s="68">
        <v>7.1400000000000005E-2</v>
      </c>
      <c r="I125" s="10">
        <v>0</v>
      </c>
      <c r="J125" s="66" t="s">
        <v>638</v>
      </c>
      <c r="K125" s="66" t="s">
        <v>639</v>
      </c>
      <c r="L125" s="11" t="s">
        <v>127</v>
      </c>
      <c r="M125" s="34" t="s">
        <v>504</v>
      </c>
      <c r="N125" s="69">
        <v>27630099</v>
      </c>
      <c r="O125" s="66" t="s">
        <v>640</v>
      </c>
      <c r="P125" s="77">
        <v>15.362056259999999</v>
      </c>
      <c r="Q125" s="77">
        <v>-89.294705680000007</v>
      </c>
      <c r="R125" s="14">
        <v>46080</v>
      </c>
      <c r="S125" s="14">
        <v>46349</v>
      </c>
      <c r="T125" s="12">
        <v>270</v>
      </c>
      <c r="U125" s="12">
        <v>0</v>
      </c>
      <c r="V125" s="47" t="s">
        <v>537</v>
      </c>
      <c r="W125" s="15" t="s">
        <v>538</v>
      </c>
      <c r="X125" s="48">
        <v>10654361.800000001</v>
      </c>
      <c r="Y125" s="48">
        <v>0</v>
      </c>
      <c r="Z125" s="18">
        <f t="shared" si="12"/>
        <v>10654361.800000001</v>
      </c>
      <c r="AA125" s="18">
        <v>0</v>
      </c>
      <c r="AB125" s="17">
        <f t="shared" si="10"/>
        <v>10654361.800000001</v>
      </c>
    </row>
    <row r="126" spans="1:28" ht="156" x14ac:dyDescent="0.25">
      <c r="A126" s="7">
        <v>125</v>
      </c>
      <c r="B126" s="8">
        <v>2026</v>
      </c>
      <c r="C126" s="8" t="s">
        <v>56</v>
      </c>
      <c r="D126" s="7" t="s">
        <v>270</v>
      </c>
      <c r="E126" s="9" t="s">
        <v>641</v>
      </c>
      <c r="F126" s="9" t="s">
        <v>637</v>
      </c>
      <c r="G126" s="9" t="s">
        <v>124</v>
      </c>
      <c r="H126" s="68">
        <v>7.6899999999999996E-2</v>
      </c>
      <c r="I126" s="10">
        <v>0</v>
      </c>
      <c r="J126" s="66" t="s">
        <v>642</v>
      </c>
      <c r="K126" s="66" t="s">
        <v>643</v>
      </c>
      <c r="L126" s="11" t="s">
        <v>127</v>
      </c>
      <c r="M126" s="34" t="s">
        <v>504</v>
      </c>
      <c r="N126" s="69">
        <v>27630285</v>
      </c>
      <c r="O126" s="66" t="s">
        <v>644</v>
      </c>
      <c r="P126" s="77">
        <v>15.306975</v>
      </c>
      <c r="Q126" s="77">
        <v>-89.459366666666597</v>
      </c>
      <c r="R126" s="14">
        <v>46080</v>
      </c>
      <c r="S126" s="14">
        <v>46259</v>
      </c>
      <c r="T126" s="12">
        <v>180</v>
      </c>
      <c r="U126" s="12">
        <v>0</v>
      </c>
      <c r="V126" s="47" t="s">
        <v>537</v>
      </c>
      <c r="W126" s="15" t="s">
        <v>538</v>
      </c>
      <c r="X126" s="48">
        <v>4882264.96</v>
      </c>
      <c r="Y126" s="48">
        <v>0</v>
      </c>
      <c r="Z126" s="18">
        <f t="shared" si="12"/>
        <v>4882264.96</v>
      </c>
      <c r="AA126" s="18">
        <v>0</v>
      </c>
      <c r="AB126" s="17">
        <f t="shared" si="10"/>
        <v>4882264.96</v>
      </c>
    </row>
    <row r="127" spans="1:28" ht="117" x14ac:dyDescent="0.25">
      <c r="A127" s="7">
        <v>126</v>
      </c>
      <c r="B127" s="8">
        <v>2026</v>
      </c>
      <c r="C127" s="8" t="s">
        <v>56</v>
      </c>
      <c r="D127" s="7" t="s">
        <v>270</v>
      </c>
      <c r="E127" s="9" t="s">
        <v>645</v>
      </c>
      <c r="F127" s="9" t="s">
        <v>637</v>
      </c>
      <c r="G127" s="9" t="s">
        <v>124</v>
      </c>
      <c r="H127" s="68">
        <v>0.1</v>
      </c>
      <c r="I127" s="10">
        <v>0</v>
      </c>
      <c r="J127" s="66" t="s">
        <v>642</v>
      </c>
      <c r="K127" s="66" t="s">
        <v>646</v>
      </c>
      <c r="L127" s="11" t="s">
        <v>127</v>
      </c>
      <c r="M127" s="34" t="s">
        <v>504</v>
      </c>
      <c r="N127" s="69">
        <v>27629783</v>
      </c>
      <c r="O127" s="66" t="s">
        <v>647</v>
      </c>
      <c r="P127" s="77">
        <v>15.61548</v>
      </c>
      <c r="Q127" s="77">
        <v>-89.191747000000007</v>
      </c>
      <c r="R127" s="14">
        <v>46080</v>
      </c>
      <c r="S127" s="14">
        <v>46259</v>
      </c>
      <c r="T127" s="12">
        <v>180</v>
      </c>
      <c r="U127" s="12">
        <v>0</v>
      </c>
      <c r="V127" s="47" t="s">
        <v>537</v>
      </c>
      <c r="W127" s="15" t="s">
        <v>538</v>
      </c>
      <c r="X127" s="48">
        <v>4744595.2</v>
      </c>
      <c r="Y127" s="48">
        <v>0</v>
      </c>
      <c r="Z127" s="18">
        <f t="shared" si="12"/>
        <v>4744595.2</v>
      </c>
      <c r="AA127" s="18">
        <v>0</v>
      </c>
      <c r="AB127" s="17">
        <f t="shared" si="10"/>
        <v>4744595.2</v>
      </c>
    </row>
    <row r="128" spans="1:28" ht="156" x14ac:dyDescent="0.25">
      <c r="A128" s="7">
        <v>127</v>
      </c>
      <c r="B128" s="8">
        <v>2026</v>
      </c>
      <c r="C128" s="8" t="s">
        <v>56</v>
      </c>
      <c r="D128" s="7" t="s">
        <v>270</v>
      </c>
      <c r="E128" s="9" t="s">
        <v>648</v>
      </c>
      <c r="F128" s="9" t="s">
        <v>637</v>
      </c>
      <c r="G128" s="9" t="s">
        <v>124</v>
      </c>
      <c r="H128" s="68">
        <v>7.0000000000000007E-2</v>
      </c>
      <c r="I128" s="10">
        <v>0</v>
      </c>
      <c r="J128" s="66" t="s">
        <v>649</v>
      </c>
      <c r="K128" s="66" t="s">
        <v>650</v>
      </c>
      <c r="L128" s="11" t="s">
        <v>127</v>
      </c>
      <c r="M128" s="34" t="s">
        <v>504</v>
      </c>
      <c r="N128" s="69">
        <v>27630234</v>
      </c>
      <c r="O128" s="66" t="s">
        <v>651</v>
      </c>
      <c r="P128" s="77">
        <v>15.588081389999999</v>
      </c>
      <c r="Q128" s="77">
        <v>-89.204860550000006</v>
      </c>
      <c r="R128" s="14">
        <v>46084</v>
      </c>
      <c r="S128" s="14">
        <v>46263</v>
      </c>
      <c r="T128" s="12">
        <v>180</v>
      </c>
      <c r="U128" s="12">
        <v>0</v>
      </c>
      <c r="V128" s="47" t="s">
        <v>537</v>
      </c>
      <c r="W128" s="15" t="s">
        <v>538</v>
      </c>
      <c r="X128" s="48">
        <v>4587910.5999999996</v>
      </c>
      <c r="Y128" s="48">
        <v>0</v>
      </c>
      <c r="Z128" s="18">
        <f t="shared" si="12"/>
        <v>4587910.5999999996</v>
      </c>
      <c r="AA128" s="18">
        <v>0</v>
      </c>
      <c r="AB128" s="17">
        <f t="shared" si="10"/>
        <v>4587910.5999999996</v>
      </c>
    </row>
    <row r="129" spans="1:28" ht="175.5" x14ac:dyDescent="0.25">
      <c r="A129" s="7">
        <v>128</v>
      </c>
      <c r="B129" s="8">
        <v>2026</v>
      </c>
      <c r="C129" s="8" t="s">
        <v>56</v>
      </c>
      <c r="D129" s="7" t="s">
        <v>270</v>
      </c>
      <c r="E129" s="9" t="s">
        <v>652</v>
      </c>
      <c r="F129" s="9" t="s">
        <v>637</v>
      </c>
      <c r="G129" s="9" t="s">
        <v>124</v>
      </c>
      <c r="H129" s="68">
        <v>5.0500000000000003E-2</v>
      </c>
      <c r="I129" s="10">
        <v>0</v>
      </c>
      <c r="J129" s="66" t="s">
        <v>649</v>
      </c>
      <c r="K129" s="66" t="s">
        <v>653</v>
      </c>
      <c r="L129" s="11" t="s">
        <v>127</v>
      </c>
      <c r="M129" s="34" t="s">
        <v>504</v>
      </c>
      <c r="N129" s="69">
        <v>27630137</v>
      </c>
      <c r="O129" s="66" t="s">
        <v>654</v>
      </c>
      <c r="P129" s="77">
        <v>15.3307222</v>
      </c>
      <c r="Q129" s="77">
        <v>-89.371305555555494</v>
      </c>
      <c r="R129" s="14">
        <v>46084</v>
      </c>
      <c r="S129" s="14">
        <v>46263</v>
      </c>
      <c r="T129" s="12">
        <v>180</v>
      </c>
      <c r="U129" s="12">
        <v>0</v>
      </c>
      <c r="V129" s="47" t="s">
        <v>537</v>
      </c>
      <c r="W129" s="15" t="s">
        <v>538</v>
      </c>
      <c r="X129" s="48">
        <v>4117616</v>
      </c>
      <c r="Y129" s="48">
        <v>0</v>
      </c>
      <c r="Z129" s="18">
        <f t="shared" si="12"/>
        <v>4117616</v>
      </c>
      <c r="AA129" s="18">
        <v>0</v>
      </c>
      <c r="AB129" s="17">
        <f t="shared" si="10"/>
        <v>4117616</v>
      </c>
    </row>
  </sheetData>
  <autoFilter ref="A1:AB129" xr:uid="{A11FCA36-68E1-48DB-B35D-1906B0292A5D}"/>
  <mergeCells count="18">
    <mergeCell ref="K84:K87"/>
    <mergeCell ref="K88:K89"/>
    <mergeCell ref="K90:K91"/>
    <mergeCell ref="K92:K94"/>
    <mergeCell ref="J96:J98"/>
    <mergeCell ref="K96:K98"/>
    <mergeCell ref="K63:K65"/>
    <mergeCell ref="K67:K69"/>
    <mergeCell ref="K70:K71"/>
    <mergeCell ref="K72:K73"/>
    <mergeCell ref="K74:K79"/>
    <mergeCell ref="K80:K83"/>
    <mergeCell ref="K49:K50"/>
    <mergeCell ref="K51:K52"/>
    <mergeCell ref="K53:K54"/>
    <mergeCell ref="K55:K56"/>
    <mergeCell ref="K57:K59"/>
    <mergeCell ref="K60:K62"/>
  </mergeCells>
  <dataValidations count="1">
    <dataValidation allowBlank="1" showInputMessage="1" showErrorMessage="1" promptTitle="NOTA:" prompt="EN EJCUCIÓN / SUSPENDIDO / OTROS: INDICAR" sqref="J5:K5" xr:uid="{47BBF6F1-4EF2-4D5A-971A-0D659D806781}"/>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Adonai Navas García</dc:creator>
  <cp:lastModifiedBy>Adonai Navas García</cp:lastModifiedBy>
  <dcterms:created xsi:type="dcterms:W3CDTF">2026-03-20T20:12:57Z</dcterms:created>
  <dcterms:modified xsi:type="dcterms:W3CDTF">2026-03-20T21:30:52Z</dcterms:modified>
</cp:coreProperties>
</file>